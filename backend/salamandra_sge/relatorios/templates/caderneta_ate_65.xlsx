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derneta Exemplo 2026" sheetId="1" state="visible" r:id="rId1"/>
  </sheets>
  <definedNames>
    <definedName name="_xlnm._FilterDatabase" localSheetId="0" hidden="1">'Caderneta Exemplo 2026'!$A$13:$AB$15</definedName>
    <definedName name="_xlnm.Print_Area" localSheetId="0">'Caderneta Exemplo 2026'!$A$1:$AB$113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<sst xmlns="http://schemas.openxmlformats.org/spreadsheetml/2006/main" count="52" uniqueCount="52">
  <si>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 </t>
  </si>
  <si>
    <t xml:space="preserve">República de Moçambique</t>
  </si>
  <si>
    <t xml:space="preserve">GOVERNO DA PROVÍNCIA DE INHAMBANE</t>
  </si>
  <si>
    <t xml:space="preserve">DIRECÇÃO PROVINCIAL DA EDUCAÇÃO E DESENVOLVIMENTO HUMANO</t>
  </si>
  <si>
    <t xml:space="preserve">Mapa de Registo de Avaliações</t>
  </si>
  <si>
    <t xml:space="preserve">ESCOLA SECUNDÁRIA DE TEVELE</t>
  </si>
  <si>
    <t>Número</t>
  </si>
  <si>
    <t xml:space="preserve">NOME DO ALUNO</t>
  </si>
  <si>
    <t>Sexo</t>
  </si>
  <si>
    <t xml:space="preserve">1º TRIMESTRE</t>
  </si>
  <si>
    <t xml:space="preserve">2º TRIMESTRE</t>
  </si>
  <si>
    <t xml:space="preserve">3º TRIMESTRE</t>
  </si>
  <si>
    <t>MFD</t>
  </si>
  <si>
    <t>ACS</t>
  </si>
  <si>
    <t>MACS</t>
  </si>
  <si>
    <t>ACP</t>
  </si>
  <si>
    <t>MT</t>
  </si>
  <si>
    <t>COM</t>
  </si>
  <si>
    <t>1º</t>
  </si>
  <si>
    <t>2º</t>
  </si>
  <si>
    <t>3º</t>
  </si>
  <si>
    <t>MAP</t>
  </si>
  <si>
    <t xml:space="preserve">Dados Estatísticos </t>
  </si>
  <si>
    <t>Características</t>
  </si>
  <si>
    <t xml:space="preserve">Alunos Avaliados</t>
  </si>
  <si>
    <t>M</t>
  </si>
  <si>
    <t>HM</t>
  </si>
  <si>
    <t xml:space="preserve">Em situação Positiva</t>
  </si>
  <si>
    <t xml:space="preserve">Percentagem de Positivas</t>
  </si>
  <si>
    <t xml:space="preserve">Em situação Negativa</t>
  </si>
  <si>
    <t xml:space="preserve">Percentagem de Negativas</t>
  </si>
  <si>
    <t xml:space="preserve">Soma das Notas</t>
  </si>
  <si>
    <t xml:space="preserve">Nota Média</t>
  </si>
  <si>
    <t xml:space="preserve">Parâmetros de Avaliação</t>
  </si>
  <si>
    <t xml:space="preserve">Não Satisfatório</t>
  </si>
  <si>
    <t xml:space="preserve">1 a 9</t>
  </si>
  <si>
    <t>Satisfatório</t>
  </si>
  <si>
    <t xml:space="preserve">11 a 13</t>
  </si>
  <si>
    <t>Bom</t>
  </si>
  <si>
    <t xml:space="preserve">14 a 16</t>
  </si>
  <si>
    <t xml:space="preserve">Muito Bom</t>
  </si>
  <si>
    <t xml:space="preserve">17 a 18</t>
  </si>
  <si>
    <t>Excelente</t>
  </si>
  <si>
    <t xml:space="preserve">19 a 20</t>
  </si>
  <si>
    <t xml:space="preserve">Assinatura do(a) Professor(a): </t>
  </si>
  <si>
    <t>_________________</t>
  </si>
  <si>
    <r>
      <rPr>
        <b/>
        <sz val="8"/>
        <rFont val="Arial Narrow"/>
      </rPr>
      <t>Data:</t>
    </r>
    <r>
      <rPr>
        <sz val="8"/>
        <rFont val="Arial Narrow"/>
      </rPr>
      <t xml:space="preserve">______ /______ / 2026</t>
    </r>
  </si>
  <si>
    <t xml:space="preserve">Conferi.  Director Pedagógico </t>
  </si>
  <si>
    <t xml:space="preserve">Visto do Director da Escola: </t>
  </si>
  <si>
    <t>Legenda</t>
  </si>
  <si>
    <r>
      <rPr>
        <b/>
        <sz val="11"/>
        <rFont val="Calibri"/>
      </rPr>
      <t>ACS</t>
    </r>
    <r>
      <rPr>
        <sz val="10"/>
        <rFont val="Arial"/>
      </rPr>
      <t xml:space="preserve"> - Avaliação Contínua Siatemática      </t>
    </r>
    <r>
      <rPr>
        <b/>
        <sz val="11"/>
        <rFont val="Calibri"/>
      </rPr>
      <t>ACP</t>
    </r>
    <r>
      <rPr>
        <sz val="10"/>
        <rFont val="Arial"/>
      </rPr>
      <t xml:space="preserve"> - Avaliação Continua Parcial   </t>
    </r>
    <r>
      <rPr>
        <b/>
        <sz val="11"/>
        <rFont val="Calibri"/>
      </rPr>
      <t>MACS</t>
    </r>
    <r>
      <rPr>
        <sz val="10"/>
        <rFont val="Arial"/>
      </rPr>
      <t xml:space="preserve"> - Média das Avaliações Contiínuas e Sistemáticas       </t>
    </r>
    <r>
      <rPr>
        <b/>
        <sz val="10"/>
        <rFont val="Arial"/>
      </rPr>
      <t>MAP</t>
    </r>
    <r>
      <rPr>
        <sz val="10"/>
        <rFont val="Arial"/>
      </rPr>
      <t xml:space="preserve"> - Média de Avaliações Práticas</t>
    </r>
  </si>
  <si>
    <r>
      <rPr>
        <b/>
        <sz val="11"/>
        <rFont val="Calibri"/>
      </rPr>
      <t>MT</t>
    </r>
    <r>
      <rPr>
        <sz val="10"/>
        <rFont val="Arial"/>
      </rPr>
      <t xml:space="preserve"> - Média Trimestral   </t>
    </r>
    <r>
      <rPr>
        <b/>
        <sz val="11"/>
        <rFont val="Calibri"/>
      </rPr>
      <t>MFD</t>
    </r>
    <r>
      <rPr>
        <sz val="10"/>
        <rFont val="Arial"/>
      </rPr>
      <t xml:space="preserve"> - Média Frequência por Disciplina    </t>
    </r>
    <r>
      <rPr>
        <b/>
        <sz val="10"/>
        <rFont val="Arial"/>
      </rPr>
      <t xml:space="preserve">Com </t>
    </r>
    <r>
      <rPr>
        <sz val="10"/>
        <rFont val="Arial"/>
      </rPr>
      <t xml:space="preserve">- Comportamento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</si>
</sst>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5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sz val="12.000000"/>
      <color theme="1"/>
      <name val="Times New Roman"/>
    </font>
    <font>
      <b/>
      <sz val="13.000000"/>
      <name val="Times New Roman"/>
    </font>
    <font>
      <b/>
      <sz val="10.000000"/>
      <name val="Arial Narrow"/>
    </font>
    <font>
      <sz val="10.000000"/>
      <color theme="1"/>
      <name val="Times New Roman"/>
    </font>
    <font>
      <sz val="10.000000"/>
      <name val="Times New Roman"/>
    </font>
    <font>
      <sz val="11.000000"/>
      <name val="Arial"/>
    </font>
    <font>
      <b/>
      <sz val="10.000000"/>
      <name val="Arial"/>
    </font>
    <font>
      <b/>
      <sz val="10.000000"/>
      <name val="Times New Roman"/>
    </font>
    <font>
      <b/>
      <sz val="8.000000"/>
      <name val="Arial Narrow"/>
    </font>
    <font>
      <b/>
      <sz val="11.000000"/>
      <name val="Arial Narrow"/>
    </font>
    <font>
      <b/>
      <sz val="9.000000"/>
      <color theme="1"/>
      <name val="Calibri"/>
      <scheme val="minor"/>
    </font>
    <font>
      <b/>
      <sz val="9.000000"/>
      <name val="Arial Narrow"/>
    </font>
    <font>
      <sz val="12.000000"/>
      <name val="Times New Roman"/>
    </font>
    <font>
      <sz val="11.000000"/>
      <name val="Times New Roman"/>
    </font>
    <font>
      <sz val="9.000000"/>
      <color theme="1"/>
      <name val="Times New Roman"/>
    </font>
    <font>
      <sz val="9.000000"/>
      <name val="Times New Roman"/>
    </font>
    <font>
      <sz val="9.000000"/>
      <name val="Arial Narrow"/>
    </font>
    <font>
      <b/>
      <sz val="9.000000"/>
      <name val="Arial"/>
    </font>
    <font>
      <sz val="9.000000"/>
      <name val="Arial"/>
    </font>
    <font>
      <b/>
      <sz val="11.000000"/>
      <name val="Times New Roman"/>
    </font>
    <font>
      <sz val="10.000000"/>
      <name val="Arial Narrow"/>
    </font>
    <font>
      <sz val="8.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theme="0" tint="0"/>
        <bgColor theme="0" tint="0"/>
      </patternFill>
    </fill>
  </fills>
  <borders count="4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44">
    <xf fontId="0" fillId="0" borderId="0" numFmtId="0" xfId="0"/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1" fillId="0" borderId="0" numFmtId="0" xfId="0" applyFont="1"/>
    <xf fontId="3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1" fillId="0" borderId="0" numFmtId="0" xfId="0" applyFont="1"/>
    <xf fontId="7" fillId="0" borderId="0" numFmtId="0" xfId="0" applyFont="1" applyAlignment="1">
      <alignment horizontal="center"/>
    </xf>
    <xf fontId="1" fillId="0" borderId="0" numFmtId="0" xfId="0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5" fillId="0" borderId="1" numFmtId="0" xfId="0" applyFont="1" applyBorder="1" applyAlignment="1">
      <alignment horizontal="center" textRotation="90"/>
    </xf>
    <xf fontId="5" fillId="0" borderId="1" numFmtId="0" xfId="0" applyFont="1" applyBorder="1" applyAlignment="1">
      <alignment horizontal="center" vertical="center"/>
    </xf>
    <xf fontId="10" fillId="0" borderId="1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9" fillId="2" borderId="1" numFmtId="0" xfId="0" applyFont="1" applyFill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/>
    </xf>
    <xf fontId="5" fillId="0" borderId="5" numFmtId="0" xfId="0" applyFont="1" applyBorder="1" applyAlignment="1">
      <alignment horizontal="center" vertical="center"/>
    </xf>
    <xf fontId="10" fillId="0" borderId="5" numFmtId="0" xfId="0" applyFont="1" applyBorder="1" applyAlignment="1">
      <alignment horizontal="center" vertical="center"/>
    </xf>
    <xf fontId="11" fillId="0" borderId="6" numFmtId="0" xfId="0" applyFont="1" applyBorder="1" applyAlignment="1">
      <alignment horizontal="center" vertical="center"/>
    </xf>
    <xf fontId="11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12" fillId="2" borderId="6" numFmtId="0" xfId="0" applyFont="1" applyFill="1" applyBorder="1" applyAlignment="1">
      <alignment horizontal="center" textRotation="90" vertical="center"/>
    </xf>
    <xf fontId="13" fillId="3" borderId="1" numFmtId="0" xfId="0" applyFont="1" applyFill="1" applyBorder="1" applyAlignment="1">
      <alignment horizontal="center" textRotation="90" vertical="center" wrapText="1"/>
    </xf>
    <xf fontId="11" fillId="0" borderId="9" numFmtId="0" xfId="0" applyFont="1" applyBorder="1" applyAlignment="1">
      <alignment horizontal="center" vertical="center"/>
    </xf>
    <xf fontId="11" fillId="0" borderId="10" numFmtId="0" xfId="0" applyFont="1" applyBorder="1" applyAlignment="1">
      <alignment horizontal="center" vertical="center"/>
    </xf>
    <xf fontId="11" fillId="0" borderId="11" numFmtId="0" xfId="0" applyFont="1" applyBorder="1" applyAlignment="1">
      <alignment horizontal="center" vertical="center"/>
    </xf>
    <xf fontId="11" fillId="0" borderId="12" numFmtId="0" xfId="0" applyFont="1" applyBorder="1" applyAlignment="1">
      <alignment horizontal="center" vertical="center"/>
    </xf>
    <xf fontId="11" fillId="0" borderId="13" numFmtId="0" xfId="0" applyFont="1" applyBorder="1" applyAlignment="1">
      <alignment horizontal="center" vertical="center"/>
    </xf>
    <xf fontId="5" fillId="0" borderId="14" numFmtId="0" xfId="0" applyFont="1" applyBorder="1" applyAlignment="1">
      <alignment horizontal="center" vertical="center"/>
    </xf>
    <xf fontId="12" fillId="2" borderId="15" numFmtId="0" xfId="0" applyFont="1" applyFill="1" applyBorder="1" applyAlignment="1">
      <alignment horizontal="center" textRotation="90" vertical="center"/>
    </xf>
    <xf fontId="9" fillId="2" borderId="5" numFmtId="0" xfId="0" applyFont="1" applyFill="1" applyBorder="1" applyAlignment="1">
      <alignment horizontal="center" textRotation="90" vertical="center"/>
    </xf>
    <xf fontId="5" fillId="0" borderId="16" numFmtId="0" xfId="0" applyFont="1" applyBorder="1" applyAlignment="1">
      <alignment horizontal="center" vertical="center"/>
    </xf>
    <xf fontId="5" fillId="0" borderId="17" numFmtId="0" xfId="0" applyFont="1" applyBorder="1" applyAlignment="1">
      <alignment horizontal="center" vertical="center"/>
    </xf>
    <xf fontId="5" fillId="0" borderId="18" numFmtId="0" xfId="0" applyFont="1" applyBorder="1" applyAlignment="1">
      <alignment horizontal="center" vertical="center"/>
    </xf>
    <xf fontId="5" fillId="0" borderId="19" numFmtId="0" xfId="0" applyFont="1" applyBorder="1" applyAlignment="1">
      <alignment horizontal="center" vertical="center"/>
    </xf>
    <xf fontId="5" fillId="0" borderId="20" numFmtId="0" xfId="0" applyFont="1" applyBorder="1" applyAlignment="1">
      <alignment horizontal="center" vertical="center"/>
    </xf>
    <xf fontId="12" fillId="2" borderId="21" numFmtId="0" xfId="0" applyFont="1" applyFill="1" applyBorder="1" applyAlignment="1">
      <alignment horizontal="center" textRotation="90" vertical="center"/>
    </xf>
    <xf fontId="13" fillId="3" borderId="16" numFmtId="0" xfId="0" applyFont="1" applyFill="1" applyBorder="1" applyAlignment="1">
      <alignment horizontal="center" textRotation="90" vertical="center" wrapText="1"/>
    </xf>
    <xf fontId="5" fillId="0" borderId="22" numFmtId="0" xfId="0" applyFont="1" applyBorder="1" applyAlignment="1">
      <alignment horizontal="center" vertical="center"/>
    </xf>
    <xf fontId="5" fillId="0" borderId="23" numFmtId="0" xfId="0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9" fillId="2" borderId="16" numFmtId="0" xfId="0" applyFont="1" applyFill="1" applyBorder="1" applyAlignment="1">
      <alignment horizontal="center" textRotation="90" vertical="center"/>
    </xf>
    <xf fontId="14" fillId="0" borderId="25" numFmtId="0" xfId="0" applyFont="1" applyBorder="1" applyAlignment="1">
      <alignment horizontal="center"/>
    </xf>
    <xf fontId="15" fillId="4" borderId="26" numFmtId="0" xfId="0" applyFont="1" applyFill="1" applyBorder="1" applyAlignment="1">
      <alignment vertical="center"/>
    </xf>
    <xf fontId="16" fillId="4" borderId="26" numFmtId="0" xfId="0" applyFont="1" applyFill="1" applyBorder="1" applyAlignment="1">
      <alignment vertical="center"/>
    </xf>
    <xf fontId="17" fillId="4" borderId="27" numFmtId="164" xfId="0" applyNumberFormat="1" applyFont="1" applyFill="1" applyBorder="1" applyAlignment="1">
      <alignment horizontal="left"/>
    </xf>
    <xf fontId="18" fillId="4" borderId="10" numFmtId="164" xfId="0" applyNumberFormat="1" applyFont="1" applyFill="1" applyBorder="1"/>
    <xf fontId="18" fillId="4" borderId="27" numFmtId="2" xfId="0" applyNumberFormat="1" applyFont="1" applyFill="1" applyBorder="1"/>
    <xf fontId="19" fillId="4" borderId="28" numFmtId="2" xfId="0" applyNumberFormat="1" applyFont="1" applyFill="1" applyBorder="1" applyAlignment="1">
      <alignment horizontal="center"/>
    </xf>
    <xf fontId="19" fillId="4" borderId="25" numFmtId="164" xfId="0" applyNumberFormat="1" applyFont="1" applyFill="1" applyBorder="1"/>
    <xf fontId="20" fillId="2" borderId="29" numFmtId="1" xfId="0" applyNumberFormat="1" applyFont="1" applyFill="1" applyBorder="1"/>
    <xf fontId="21" fillId="4" borderId="25" numFmtId="0" xfId="0" applyFont="1" applyFill="1" applyBorder="1"/>
    <xf fontId="19" fillId="4" borderId="10" numFmtId="164" xfId="0" applyNumberFormat="1" applyFont="1" applyFill="1" applyBorder="1"/>
    <xf fontId="19" fillId="4" borderId="27" numFmtId="164" xfId="0" applyNumberFormat="1" applyFont="1" applyFill="1" applyBorder="1"/>
    <xf fontId="19" fillId="4" borderId="30" numFmtId="164" xfId="0" applyNumberFormat="1" applyFont="1" applyFill="1" applyBorder="1"/>
    <xf fontId="19" fillId="4" borderId="30" numFmtId="2" xfId="0" applyNumberFormat="1" applyFont="1" applyFill="1" applyBorder="1"/>
    <xf fontId="19" fillId="4" borderId="25" numFmtId="165" xfId="0" applyNumberFormat="1" applyFont="1" applyFill="1" applyBorder="1"/>
    <xf fontId="21" fillId="4" borderId="31" numFmtId="0" xfId="0" applyFont="1" applyFill="1" applyBorder="1"/>
    <xf fontId="14" fillId="2" borderId="25" numFmtId="1" xfId="0" applyNumberFormat="1" applyFont="1" applyFill="1" applyBorder="1"/>
    <xf fontId="14" fillId="0" borderId="32" numFmtId="0" xfId="0" applyFont="1" applyBorder="1" applyAlignment="1">
      <alignment horizontal="center"/>
    </xf>
    <xf fontId="18" fillId="4" borderId="33" numFmtId="2" xfId="0" applyNumberFormat="1" applyFont="1" applyFill="1" applyBorder="1"/>
    <xf fontId="19" fillId="4" borderId="34" numFmtId="2" xfId="0" applyNumberFormat="1" applyFont="1" applyFill="1" applyBorder="1"/>
    <xf fontId="19" fillId="4" borderId="34" numFmtId="164" xfId="0" applyNumberFormat="1" applyFont="1" applyFill="1" applyBorder="1"/>
    <xf fontId="18" fillId="4" borderId="34" numFmtId="2" xfId="0" applyNumberFormat="1" applyFont="1" applyFill="1" applyBorder="1"/>
    <xf fontId="19" fillId="4" borderId="33" numFmtId="2" xfId="0" applyNumberFormat="1" applyFont="1" applyFill="1" applyBorder="1"/>
    <xf fontId="19" fillId="4" borderId="35" numFmtId="164" xfId="0" applyNumberFormat="1" applyFont="1" applyFill="1" applyBorder="1"/>
    <xf fontId="18" fillId="4" borderId="36" numFmtId="2" xfId="0" applyNumberFormat="1" applyFont="1" applyFill="1" applyBorder="1"/>
    <xf fontId="19" fillId="4" borderId="37" numFmtId="2" xfId="0" applyNumberFormat="1" applyFont="1" applyFill="1" applyBorder="1"/>
    <xf fontId="19" fillId="4" borderId="38" numFmtId="164" xfId="0" applyNumberFormat="1" applyFont="1" applyFill="1" applyBorder="1"/>
    <xf fontId="5" fillId="0" borderId="39" numFmtId="0" xfId="0" applyFont="1" applyBorder="1" applyAlignment="1">
      <alignment horizontal="center"/>
    </xf>
    <xf fontId="0" fillId="0" borderId="39" numFmtId="0" xfId="0" applyBorder="1" applyAlignment="1">
      <alignment horizontal="center"/>
    </xf>
    <xf fontId="19" fillId="0" borderId="1" numFmtId="0" xfId="0" applyFont="1" applyBorder="1" applyAlignment="1">
      <alignment horizontal="center" textRotation="90"/>
    </xf>
    <xf fontId="10" fillId="0" borderId="6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/>
    </xf>
    <xf fontId="5" fillId="0" borderId="3" numFmtId="0" xfId="0" applyFont="1" applyBorder="1" applyAlignment="1">
      <alignment horizontal="center"/>
    </xf>
    <xf fontId="5" fillId="0" borderId="4" numFmtId="0" xfId="0" applyFont="1" applyBorder="1" applyAlignment="1">
      <alignment horizontal="center"/>
    </xf>
    <xf fontId="5" fillId="0" borderId="1" numFmtId="0" xfId="0" applyFont="1" applyBorder="1" applyAlignment="1">
      <alignment horizontal="center" textRotation="90" vertical="center"/>
    </xf>
    <xf fontId="19" fillId="0" borderId="5" numFmtId="0" xfId="0" applyFont="1" applyBorder="1" applyAlignment="1">
      <alignment horizontal="center" textRotation="90"/>
    </xf>
    <xf fontId="10" fillId="0" borderId="15" numFmtId="0" xfId="0" applyFont="1" applyBorder="1" applyAlignment="1">
      <alignment horizontal="center" vertical="center"/>
    </xf>
    <xf fontId="11" fillId="0" borderId="28" numFmtId="0" xfId="0" applyFont="1" applyBorder="1" applyAlignment="1">
      <alignment horizontal="center" vertical="center"/>
    </xf>
    <xf fontId="12" fillId="0" borderId="6" numFmtId="0" xfId="0" applyFont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 vertical="center"/>
    </xf>
    <xf fontId="19" fillId="0" borderId="16" numFmtId="0" xfId="0" applyFont="1" applyBorder="1" applyAlignment="1">
      <alignment horizontal="center" textRotation="90"/>
    </xf>
    <xf fontId="10" fillId="0" borderId="21" numFmtId="0" xfId="0" applyFont="1" applyBorder="1" applyAlignment="1">
      <alignment horizontal="center" vertical="center"/>
    </xf>
    <xf fontId="10" fillId="0" borderId="16" numFmtId="0" xfId="0" applyFont="1" applyBorder="1" applyAlignment="1">
      <alignment horizontal="center" vertical="center"/>
    </xf>
    <xf fontId="12" fillId="0" borderId="21" numFmtId="0" xfId="0" applyFont="1" applyBorder="1" applyAlignment="1">
      <alignment horizontal="center" textRotation="90" vertical="center"/>
    </xf>
    <xf fontId="5" fillId="0" borderId="16" numFmtId="0" xfId="0" applyFont="1" applyBorder="1" applyAlignment="1">
      <alignment horizontal="center" textRotation="90" vertical="center"/>
    </xf>
    <xf fontId="14" fillId="0" borderId="40" numFmtId="0" xfId="0" applyFont="1" applyBorder="1" applyAlignment="1">
      <alignment horizontal="center"/>
    </xf>
    <xf fontId="16" fillId="0" borderId="6" numFmtId="0" xfId="0" applyFont="1" applyBorder="1" applyAlignment="1">
      <alignment horizontal="center" vertical="center"/>
    </xf>
    <xf fontId="22" fillId="0" borderId="25" numFmtId="0" xfId="0" applyFont="1" applyBorder="1" applyAlignment="1">
      <alignment horizontal="center"/>
    </xf>
    <xf fontId="5" fillId="0" borderId="31" numFmtId="0" xfId="0" applyFont="1" applyBorder="1" applyAlignment="1">
      <alignment horizontal="right"/>
    </xf>
    <xf fontId="16" fillId="0" borderId="11" numFmtId="0" xfId="0" applyFont="1" applyBorder="1" applyAlignment="1">
      <alignment horizontal="center" vertical="center"/>
    </xf>
    <xf fontId="22" fillId="0" borderId="40" numFmtId="0" xfId="0" applyFont="1" applyBorder="1" applyAlignment="1">
      <alignment horizontal="center"/>
    </xf>
    <xf fontId="5" fillId="0" borderId="41" numFmtId="0" xfId="0" applyFont="1" applyBorder="1" applyAlignment="1">
      <alignment horizontal="right"/>
    </xf>
    <xf fontId="16" fillId="0" borderId="42" numFmtId="0" xfId="0" applyFont="1" applyBorder="1" applyAlignment="1">
      <alignment horizontal="center" vertical="center"/>
    </xf>
    <xf fontId="23" fillId="0" borderId="32" numFmtId="1" xfId="0" applyNumberFormat="1" applyFont="1" applyBorder="1" applyAlignment="1">
      <alignment horizontal="right"/>
    </xf>
    <xf fontId="24" fillId="0" borderId="43" numFmtId="9" xfId="3" applyNumberFormat="1" applyFont="1" applyBorder="1" applyAlignment="1">
      <alignment horizontal="right"/>
    </xf>
    <xf fontId="23" fillId="0" borderId="43" numFmtId="0" xfId="0" applyFont="1" applyBorder="1" applyAlignment="1">
      <alignment horizontal="right"/>
    </xf>
    <xf fontId="23" fillId="0" borderId="43" numFmtId="1" xfId="0" applyNumberFormat="1" applyFont="1" applyBorder="1" applyAlignment="1">
      <alignment horizontal="right"/>
    </xf>
    <xf fontId="19" fillId="0" borderId="43" numFmtId="1" xfId="0" applyNumberFormat="1" applyFont="1" applyBorder="1" applyAlignment="1">
      <alignment horizontal="right"/>
    </xf>
    <xf fontId="14" fillId="0" borderId="44" numFmtId="0" xfId="0" applyFont="1" applyBorder="1" applyAlignment="1">
      <alignment horizontal="center"/>
    </xf>
    <xf fontId="16" fillId="0" borderId="21" numFmtId="0" xfId="0" applyFont="1" applyBorder="1" applyAlignment="1">
      <alignment horizontal="center" vertical="center"/>
    </xf>
    <xf fontId="22" fillId="0" borderId="16" numFmtId="0" xfId="0" applyFont="1" applyBorder="1" applyAlignment="1">
      <alignment horizontal="center"/>
    </xf>
    <xf fontId="19" fillId="0" borderId="17" numFmtId="1" xfId="0" applyNumberFormat="1" applyFont="1" applyBorder="1" applyAlignment="1">
      <alignment horizontal="right"/>
    </xf>
    <xf fontId="22" fillId="0" borderId="15" numFmtId="0" xfId="0" applyFont="1" applyBorder="1" applyAlignment="1">
      <alignment horizontal="center"/>
    </xf>
    <xf fontId="22" fillId="0" borderId="0" numFmtId="0" xfId="0" applyFont="1" applyAlignment="1">
      <alignment horizontal="center"/>
    </xf>
    <xf fontId="22" fillId="0" borderId="45" numFmtId="0" xfId="0" applyFont="1" applyBorder="1" applyAlignment="1">
      <alignment horizontal="center"/>
    </xf>
    <xf fontId="16" fillId="0" borderId="6" numFmtId="0" xfId="0" applyFont="1" applyBorder="1" applyAlignment="1">
      <alignment horizontal="center"/>
    </xf>
    <xf fontId="16" fillId="0" borderId="1" numFmtId="0" xfId="0" applyFont="1" applyBorder="1" applyAlignment="1">
      <alignment horizontal="center"/>
    </xf>
    <xf fontId="23" fillId="0" borderId="31" numFmtId="0" xfId="0" applyFont="1" applyBorder="1" applyAlignment="1">
      <alignment horizontal="right"/>
    </xf>
    <xf fontId="16" fillId="0" borderId="42" numFmtId="0" xfId="0" applyFont="1" applyBorder="1" applyAlignment="1">
      <alignment horizontal="center"/>
    </xf>
    <xf fontId="16" fillId="0" borderId="44" numFmtId="0" xfId="0" applyFont="1" applyBorder="1" applyAlignment="1">
      <alignment horizontal="center"/>
    </xf>
    <xf fontId="14" fillId="0" borderId="46" numFmtId="0" xfId="0" applyFont="1" applyBorder="1" applyAlignment="1">
      <alignment horizontal="center"/>
    </xf>
    <xf fontId="16" fillId="0" borderId="46" numFmtId="0" xfId="0" applyFont="1" applyBorder="1" applyAlignment="1">
      <alignment horizontal="center"/>
    </xf>
    <xf fontId="23" fillId="0" borderId="17" numFmtId="1" xfId="0" applyNumberFormat="1" applyFont="1" applyBorder="1" applyAlignment="1">
      <alignment horizontal="right"/>
    </xf>
    <xf fontId="16" fillId="0" borderId="15" numFmtId="0" xfId="0" applyFont="1" applyBorder="1" applyAlignment="1">
      <alignment horizontal="center"/>
    </xf>
    <xf fontId="16" fillId="0" borderId="47" numFmtId="0" xfId="0" applyFont="1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47" numFmtId="0" xfId="0" applyBorder="1" applyAlignment="1">
      <alignment horizontal="center"/>
    </xf>
    <xf fontId="16" fillId="0" borderId="45" numFmtId="0" xfId="0" applyFont="1" applyBorder="1" applyAlignment="1">
      <alignment horizontal="center"/>
    </xf>
    <xf fontId="11" fillId="0" borderId="15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11" fillId="0" borderId="45" numFmtId="0" xfId="0" applyFont="1" applyBorder="1" applyAlignment="1">
      <alignment horizontal="center"/>
    </xf>
    <xf fontId="0" fillId="0" borderId="15" numFmtId="0" xfId="0" applyBorder="1" applyAlignment="1">
      <alignment horizontal="center"/>
    </xf>
    <xf fontId="0" fillId="0" borderId="45" numFmtId="0" xfId="0" applyBorder="1" applyAlignment="1">
      <alignment horizontal="center"/>
    </xf>
    <xf fontId="16" fillId="0" borderId="15" numFmtId="0" xfId="0" applyFont="1" applyBorder="1"/>
    <xf fontId="14" fillId="0" borderId="0" numFmtId="0" xfId="0" applyFont="1" applyAlignment="1">
      <alignment horizontal="center"/>
    </xf>
    <xf fontId="10" fillId="0" borderId="15" numFmtId="0" xfId="0" applyFont="1" applyBorder="1" applyAlignment="1">
      <alignment horizontal="center"/>
    </xf>
    <xf fontId="10" fillId="0" borderId="45" numFmtId="0" xfId="0" applyFont="1" applyBorder="1" applyAlignment="1">
      <alignment horizontal="center"/>
    </xf>
    <xf fontId="23" fillId="0" borderId="21" numFmtId="0" xfId="0" applyFont="1" applyBorder="1"/>
    <xf fontId="7" fillId="0" borderId="26" numFmtId="0" xfId="0" applyFont="1" applyBorder="1" applyAlignment="1">
      <alignment horizontal="center"/>
    </xf>
    <xf fontId="11" fillId="0" borderId="21" numFmtId="0" xfId="0" applyFont="1" applyBorder="1" applyAlignment="1">
      <alignment horizontal="center"/>
    </xf>
    <xf fontId="11" fillId="0" borderId="39" numFmtId="0" xfId="0" applyFont="1" applyBorder="1" applyAlignment="1">
      <alignment horizontal="center"/>
    </xf>
    <xf fontId="11" fillId="0" borderId="26" numFmtId="0" xfId="0" applyFont="1" applyBorder="1" applyAlignment="1">
      <alignment horizontal="center"/>
    </xf>
    <xf fontId="23" fillId="0" borderId="0" numFmtId="0" xfId="0" applyFont="1" applyAlignment="1">
      <alignment horizontal="center"/>
    </xf>
    <xf fontId="18" fillId="0" borderId="0" numFmtId="0" xfId="0" applyFont="1" applyAlignment="1">
      <alignment horizontal="center"/>
    </xf>
    <xf fontId="23" fillId="0" borderId="0" numFmtId="0" xfId="0" applyFont="1"/>
    <xf fontId="1" fillId="3" borderId="0" numFmtId="0" xfId="0" applyFont="1" applyFill="1"/>
  </cellXfs>
  <cellStyles count="4">
    <cellStyle name="Normal" xfId="0" builtinId="0"/>
    <cellStyle name="Normal 2" xfId="1"/>
    <cellStyle name="Normal 3" xfId="2"/>
    <cellStyle name="Pe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161923</xdr:colOff>
      <xdr:row>0</xdr:row>
      <xdr:rowOff>23901</xdr:rowOff>
    </xdr:from>
    <xdr:to>
      <xdr:col>11</xdr:col>
      <xdr:colOff>219073</xdr:colOff>
      <xdr:row>1</xdr:row>
      <xdr:rowOff>314323</xdr:rowOff>
    </xdr:to>
    <xdr:pic>
      <xdr:nvPicPr>
        <xdr:cNvPr id="5368961" name="Picture 10" descr="eMBLEMA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 flipH="0" flipV="0">
          <a:off x="4857748" y="23901"/>
          <a:ext cx="628649" cy="6523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62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63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64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65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89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8993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89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89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1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02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03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04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05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6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7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8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09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0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0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0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4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4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4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4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5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5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1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1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8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8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8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8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9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9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9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19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19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2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6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6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6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6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7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7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7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7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7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4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4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4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8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5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5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5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5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6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6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6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6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8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8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8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78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7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7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9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79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3698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3698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3698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3698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3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3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3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3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3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3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3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3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3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3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4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4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4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4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4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5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5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5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5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7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8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8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8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8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49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49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49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49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0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0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5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5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5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5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78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79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80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81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1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1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1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1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1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1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1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1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1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1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09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17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1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2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2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2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25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2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8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8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8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8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8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4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4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6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6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6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6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6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7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7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8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58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8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8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8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58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8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8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8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8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5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5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2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6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6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9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9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9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69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6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0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0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0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0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1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1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7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7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94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95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96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797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8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799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0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1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5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6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6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6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6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7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7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7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7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8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8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8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8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8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9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9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9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89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9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9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9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89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8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2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2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2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2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2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59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59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9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9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9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599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599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0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0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0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0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0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0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1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1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1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1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0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0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0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3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4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4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4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4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1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1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1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1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0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0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0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0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0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2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2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2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2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3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3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3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63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3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3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3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63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63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63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3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4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4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4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6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7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7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8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3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3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3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3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4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4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4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4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7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7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7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7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7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7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7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7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8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8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8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59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5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5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59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6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6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6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6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7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7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7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7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5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6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6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6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7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8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7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8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5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5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5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5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5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7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7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7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7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7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8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8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8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8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699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9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9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9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699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69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69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1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2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2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2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2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0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0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0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0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5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5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5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5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6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6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6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6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6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7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7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7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7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7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2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2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2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29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0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0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0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0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1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1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1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1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1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2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2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2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2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2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2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2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2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2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2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3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3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3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3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3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3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3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3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3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6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6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6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6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6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7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3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3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2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3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3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3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3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3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4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4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4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4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5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5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5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5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7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7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7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7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49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0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0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0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3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3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3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4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4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4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4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5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5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5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5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0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0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0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0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0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1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6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7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7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7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7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7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8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8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8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68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6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9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9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9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69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6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2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2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2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2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2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2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2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3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3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3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3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3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3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3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3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3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4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4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4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5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5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7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7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7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7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8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79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79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9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9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9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799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799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0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0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0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1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1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1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1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1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1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1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1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2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2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2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3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3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0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0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0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0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1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1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1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1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1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3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3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3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3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4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4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4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4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5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5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5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5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5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7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8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8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8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8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2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2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2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2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3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3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1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1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1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1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2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2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2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2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2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3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3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3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3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3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5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6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6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6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6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4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5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5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5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5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86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86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86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86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6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6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6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6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6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69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9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9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9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69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9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9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9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69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0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0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0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0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7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7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7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7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8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8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9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9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9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89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89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0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0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1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1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8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89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89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89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0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0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0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0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7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8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8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9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19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1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1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0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7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2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2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9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9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9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29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9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2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0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0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0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0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1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1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1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1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1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1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4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4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4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4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3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3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3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4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4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4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4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7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7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7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7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5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8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8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8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8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8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9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59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9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9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9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59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5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2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2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2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2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3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3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3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3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4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4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4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4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4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4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4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4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4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4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5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5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5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5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5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6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6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8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8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8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8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8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6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6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4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5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5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5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5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6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6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6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6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7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7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7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7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7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19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19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19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19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2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2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2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2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5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5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6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6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6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6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8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8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8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8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2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2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2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2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2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19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19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8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9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9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9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1999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199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0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0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0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0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1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1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1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1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4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4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4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4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4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4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5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5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5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5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5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6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6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7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07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0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0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0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1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1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1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1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2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2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2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2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1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2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2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2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2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3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3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3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3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3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4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4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5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5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3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3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3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3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5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5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5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5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6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6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6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6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7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7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7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7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7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7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4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4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4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4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0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0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0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0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5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5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5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5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6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6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6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6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3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3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3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3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4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4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4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4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4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5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5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5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5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5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5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7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8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8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8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8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8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8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8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8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09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09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09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09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8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8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8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8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09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09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09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09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0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0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0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0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0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0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0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0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09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1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1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1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1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1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1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1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1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2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2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2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2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2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2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2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2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2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0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0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0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0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1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1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1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1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1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1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1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1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2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2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3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3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3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4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4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4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4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3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3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3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3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4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4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9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4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4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0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1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1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1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2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2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2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2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2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2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2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2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2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59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0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0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0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0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0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1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1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1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1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1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1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1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2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2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2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2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2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2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2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2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2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2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3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3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3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3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3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3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3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6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6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6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6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6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6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6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6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6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6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6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6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7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7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7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8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8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9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9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9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89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8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0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0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0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0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0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1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1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1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1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1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1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1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4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4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4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4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4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4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4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4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5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5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5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6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6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6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6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6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6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6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6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6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6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7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7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7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7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7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198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19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19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19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0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0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0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0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0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6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7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7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7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7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8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8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8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08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0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0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9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9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09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0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0</xdr:rowOff>
    </xdr:to>
    <xdr:pic>
      <xdr:nvPicPr>
        <xdr:cNvPr id="5422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0</xdr:rowOff>
    </xdr:to>
    <xdr:pic>
      <xdr:nvPicPr>
        <xdr:cNvPr id="5422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110</xdr:row>
      <xdr:rowOff>0</xdr:rowOff>
    </xdr:from>
    <xdr:to>
      <xdr:col>10</xdr:col>
      <xdr:colOff>114300</xdr:colOff>
      <xdr:row>110</xdr:row>
      <xdr:rowOff>0</xdr:rowOff>
    </xdr:to>
    <xdr:pic>
      <xdr:nvPicPr>
        <xdr:cNvPr id="5422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621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109</xdr:row>
      <xdr:rowOff>0</xdr:rowOff>
    </xdr:from>
    <xdr:to>
      <xdr:col>10</xdr:col>
      <xdr:colOff>114300</xdr:colOff>
      <xdr:row>109</xdr:row>
      <xdr:rowOff>0</xdr:rowOff>
    </xdr:to>
    <xdr:pic>
      <xdr:nvPicPr>
        <xdr:cNvPr id="5422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459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4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4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4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4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17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8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8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8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8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8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8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8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8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8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1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4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4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4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4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4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0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2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2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2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2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3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3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3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4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6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6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6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6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6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7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7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7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7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7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8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3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8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9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9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39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3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3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0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0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0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4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4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4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4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5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3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4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4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4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4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4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5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5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5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5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5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6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6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7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7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67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6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8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8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8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8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6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6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5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6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6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6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6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6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7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7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7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7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7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8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8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8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8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9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9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79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9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9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9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79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2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2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2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2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2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2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2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2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8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8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29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2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2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29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5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5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5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5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6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6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6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6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6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7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7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7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7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7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7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7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0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0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0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0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0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0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0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0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0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0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0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0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1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1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1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1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107</xdr:row>
      <xdr:rowOff>0</xdr:rowOff>
    </xdr:from>
    <xdr:to>
      <xdr:col>9</xdr:col>
      <xdr:colOff>114300</xdr:colOff>
      <xdr:row>107</xdr:row>
      <xdr:rowOff>0</xdr:rowOff>
    </xdr:to>
    <xdr:pic>
      <xdr:nvPicPr>
        <xdr:cNvPr id="54232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0116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106</xdr:row>
      <xdr:rowOff>0</xdr:rowOff>
    </xdr:from>
    <xdr:to>
      <xdr:col>9</xdr:col>
      <xdr:colOff>114300</xdr:colOff>
      <xdr:row>106</xdr:row>
      <xdr:rowOff>0</xdr:rowOff>
    </xdr:to>
    <xdr:pic>
      <xdr:nvPicPr>
        <xdr:cNvPr id="54232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19935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107</xdr:row>
      <xdr:rowOff>0</xdr:rowOff>
    </xdr:from>
    <xdr:to>
      <xdr:col>11</xdr:col>
      <xdr:colOff>114300</xdr:colOff>
      <xdr:row>107</xdr:row>
      <xdr:rowOff>0</xdr:rowOff>
    </xdr:to>
    <xdr:pic>
      <xdr:nvPicPr>
        <xdr:cNvPr id="54232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0116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2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106</xdr:row>
      <xdr:rowOff>0</xdr:rowOff>
    </xdr:from>
    <xdr:to>
      <xdr:col>11</xdr:col>
      <xdr:colOff>114300</xdr:colOff>
      <xdr:row>106</xdr:row>
      <xdr:rowOff>0</xdr:rowOff>
    </xdr:to>
    <xdr:pic>
      <xdr:nvPicPr>
        <xdr:cNvPr id="54233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19935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80" workbookViewId="0">
      <selection activeCell="AB26" activeCellId="0" sqref="AB26"/>
    </sheetView>
  </sheetViews>
  <sheetFormatPr defaultRowHeight="12.75"/>
  <cols>
    <col customWidth="1" min="1" max="1" width="4.5703125"/>
    <col customWidth="1" min="2" max="2" width="32.5703125"/>
    <col bestFit="1" customWidth="1" min="3" max="3" width="6.8515625"/>
    <col customWidth="1" min="4" max="4" width="4"/>
    <col customWidth="1" min="5" max="7" width="4.28515625"/>
    <col customWidth="1" min="8" max="8" width="5.28515625"/>
    <col customWidth="1" min="9" max="15" width="4.28515625"/>
    <col customWidth="1" min="16" max="16" width="5.28515625"/>
    <col customWidth="1" min="17" max="17" width="6"/>
    <col customWidth="1" min="18" max="23" width="4.28515625"/>
    <col customWidth="1" min="24" max="24" width="5.28515625"/>
    <col customWidth="1" min="25" max="25" width="6.140625"/>
    <col customWidth="1" min="26" max="28" width="4.28515625"/>
    <col customWidth="1" min="29" max="29" width="4.5703125"/>
  </cols>
  <sheetData>
    <row r="1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">
      <c r="A10" s="6"/>
      <c r="B10" s="6"/>
      <c r="C10" s="6"/>
      <c r="D10" s="6"/>
      <c r="E10" s="7"/>
      <c r="F10" s="6"/>
      <c r="G10" s="6"/>
      <c r="H10" s="6"/>
      <c r="I10" s="6"/>
      <c r="J10" s="7"/>
      <c r="K10" s="6"/>
      <c r="L10" s="6"/>
      <c r="M10" s="6"/>
      <c r="N10" s="6"/>
      <c r="O10" s="7"/>
      <c r="P10" s="6"/>
      <c r="Q10" s="6"/>
      <c r="R10" s="6"/>
      <c r="S10" s="7"/>
      <c r="T10" s="6"/>
      <c r="U10" s="6"/>
      <c r="V10" s="6"/>
      <c r="W10" s="7"/>
      <c r="X10" s="6"/>
      <c r="Y10" s="6"/>
      <c r="Z10" s="6"/>
      <c r="AA10" s="6"/>
      <c r="AB10" s="6"/>
    </row>
    <row r="11" ht="14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4.25">
      <c r="C12" s="9"/>
      <c r="I12" s="10"/>
      <c r="J12" s="10"/>
      <c r="K12" s="10"/>
      <c r="P12" s="11"/>
      <c r="Q12" s="10"/>
      <c r="W12" s="12"/>
    </row>
    <row r="13" ht="13.5" customHeight="1">
      <c r="A13" s="13" t="s">
        <v>6</v>
      </c>
      <c r="B13" s="14" t="s">
        <v>7</v>
      </c>
      <c r="C13" s="15" t="s">
        <v>8</v>
      </c>
      <c r="D13" s="16" t="s">
        <v>9</v>
      </c>
      <c r="E13" s="17"/>
      <c r="F13" s="17"/>
      <c r="G13" s="17"/>
      <c r="H13" s="17"/>
      <c r="I13" s="17"/>
      <c r="J13" s="17"/>
      <c r="K13" s="18"/>
      <c r="L13" s="17" t="s">
        <v>10</v>
      </c>
      <c r="M13" s="17"/>
      <c r="N13" s="17"/>
      <c r="O13" s="17"/>
      <c r="P13" s="17"/>
      <c r="Q13" s="17"/>
      <c r="R13" s="17"/>
      <c r="S13" s="18"/>
      <c r="T13" s="16" t="s">
        <v>11</v>
      </c>
      <c r="U13" s="17"/>
      <c r="V13" s="17"/>
      <c r="W13" s="17"/>
      <c r="X13" s="17"/>
      <c r="Y13" s="17"/>
      <c r="Z13" s="17"/>
      <c r="AA13" s="18"/>
      <c r="AB13" s="19" t="s">
        <v>12</v>
      </c>
    </row>
    <row r="14" ht="12.75" customHeight="1">
      <c r="A14" s="20"/>
      <c r="B14" s="21"/>
      <c r="C14" s="22"/>
      <c r="D14" s="23" t="s">
        <v>13</v>
      </c>
      <c r="E14" s="24"/>
      <c r="F14" s="24"/>
      <c r="G14" s="24"/>
      <c r="H14" s="25" t="s">
        <v>14</v>
      </c>
      <c r="I14" s="14" t="s">
        <v>15</v>
      </c>
      <c r="J14" s="26" t="s">
        <v>16</v>
      </c>
      <c r="K14" s="27" t="s">
        <v>17</v>
      </c>
      <c r="L14" s="28" t="s">
        <v>13</v>
      </c>
      <c r="M14" s="28"/>
      <c r="N14" s="28"/>
      <c r="O14" s="29"/>
      <c r="P14" s="25" t="s">
        <v>14</v>
      </c>
      <c r="Q14" s="14" t="s">
        <v>15</v>
      </c>
      <c r="R14" s="26" t="s">
        <v>16</v>
      </c>
      <c r="S14" s="27" t="s">
        <v>17</v>
      </c>
      <c r="T14" s="30" t="s">
        <v>13</v>
      </c>
      <c r="U14" s="31"/>
      <c r="V14" s="31"/>
      <c r="W14" s="32"/>
      <c r="X14" s="33" t="s">
        <v>14</v>
      </c>
      <c r="Y14" s="14" t="s">
        <v>15</v>
      </c>
      <c r="Z14" s="34" t="s">
        <v>16</v>
      </c>
      <c r="AA14" s="27" t="s">
        <v>17</v>
      </c>
      <c r="AB14" s="35"/>
    </row>
    <row r="15" ht="13.5">
      <c r="A15" s="20"/>
      <c r="B15" s="36"/>
      <c r="C15" s="22"/>
      <c r="D15" s="37" t="s">
        <v>18</v>
      </c>
      <c r="E15" s="38" t="s">
        <v>19</v>
      </c>
      <c r="F15" s="39" t="s">
        <v>20</v>
      </c>
      <c r="G15" s="39" t="s">
        <v>21</v>
      </c>
      <c r="H15" s="40"/>
      <c r="I15" s="36"/>
      <c r="J15" s="41"/>
      <c r="K15" s="42"/>
      <c r="L15" s="43" t="s">
        <v>18</v>
      </c>
      <c r="M15" s="44" t="s">
        <v>19</v>
      </c>
      <c r="N15" s="44" t="s">
        <v>20</v>
      </c>
      <c r="O15" s="44" t="s">
        <v>21</v>
      </c>
      <c r="P15" s="40"/>
      <c r="Q15" s="36"/>
      <c r="R15" s="41"/>
      <c r="S15" s="42"/>
      <c r="T15" s="45" t="s">
        <v>18</v>
      </c>
      <c r="U15" s="44" t="s">
        <v>19</v>
      </c>
      <c r="V15" s="44" t="s">
        <v>20</v>
      </c>
      <c r="W15" s="44" t="s">
        <v>21</v>
      </c>
      <c r="X15" s="40"/>
      <c r="Y15" s="36"/>
      <c r="Z15" s="41"/>
      <c r="AA15" s="42"/>
      <c r="AB15" s="46"/>
    </row>
    <row r="16" ht="15">
      <c r="A16" s="47">
        <v>1</v>
      </c>
      <c r="B16" s="48"/>
      <c r="C16" s="49"/>
      <c r="D16" s="50"/>
      <c r="E16" s="51"/>
      <c r="F16" s="51"/>
      <c r="G16" s="52"/>
      <c r="H16" s="53" t="str">
        <f t="shared" ref="H16:H79" si="0">IFERROR(AVERAGE(D16:G16),"")</f>
        <v/>
      </c>
      <c r="I16" s="54"/>
      <c r="J16" s="55" t="str">
        <f t="shared" ref="J16:J79" si="1">IFERROR((H16*2+I16)/3,"")</f>
        <v/>
      </c>
      <c r="K16" s="56" t="str">
        <f t="shared" ref="K16:K79" si="2">IF(J16&lt;=9.4,"NS",IF(J16&lt;=13.4,"S",IF(J16&lt;=16.4,"B",IF(J16&lt;=18.4,"MB",IF(J16&lt;=20,"E","")))))</f>
        <v/>
      </c>
      <c r="L16" s="57"/>
      <c r="M16" s="58"/>
      <c r="N16" s="59"/>
      <c r="O16" s="60"/>
      <c r="P16" s="53" t="str">
        <f t="shared" ref="P16:P79" si="3">IFERROR(AVERAGE(L16:O16),"")</f>
        <v/>
      </c>
      <c r="Q16" s="54"/>
      <c r="R16" s="55" t="str">
        <f t="shared" ref="R16:R79" si="4">IFERROR((P16*2+Q16)/3,"")</f>
        <v/>
      </c>
      <c r="S16" s="56" t="str">
        <f t="shared" ref="S16:S79" si="5">IF(R16&lt;=9.4,"NS",IF(R16&lt;=13.4,"S",IF(R16&lt;=16.4,"B",IF(R16&lt;=18.4,"MB",IF(R16&lt;=20,"E","")))))</f>
        <v/>
      </c>
      <c r="T16" s="57"/>
      <c r="U16" s="57"/>
      <c r="V16" s="58"/>
      <c r="W16" s="59"/>
      <c r="X16" s="53" t="str">
        <f t="shared" ref="X16:X79" si="6">IFERROR(AVERAGE(T16:U16),"")</f>
        <v/>
      </c>
      <c r="Y16" s="61"/>
      <c r="Z16" s="55" t="str">
        <f t="shared" ref="Z16:Z79" si="7">IFERROR((X16*2+Y16)/3,"")</f>
        <v/>
      </c>
      <c r="AA16" s="62" t="str">
        <f t="shared" ref="AA16:AA79" si="8">IF(Z16&lt;=9.4,"NS",IF(Z16&lt;=13.4,"S",IF(Z16&lt;=16.4,"B",IF(Z16&lt;=18.4,"MB",IF(Z16&lt;=20,"E","")))))</f>
        <v/>
      </c>
      <c r="AB16" s="63" t="str">
        <f t="shared" ref="AB16:AB79" si="9">IFERROR(AVERAGE(J16,R16,Z16),"")</f>
        <v/>
      </c>
    </row>
    <row r="17" ht="15">
      <c r="A17" s="64">
        <v>2</v>
      </c>
      <c r="B17" s="48"/>
      <c r="C17" s="49"/>
      <c r="D17" s="50"/>
      <c r="E17" s="51"/>
      <c r="F17" s="51"/>
      <c r="G17" s="65"/>
      <c r="H17" s="53" t="str">
        <f t="shared" si="0"/>
        <v/>
      </c>
      <c r="I17" s="54"/>
      <c r="J17" s="55" t="str">
        <f t="shared" si="1"/>
        <v/>
      </c>
      <c r="K17" s="56" t="str">
        <f t="shared" si="2"/>
        <v/>
      </c>
      <c r="L17" s="57"/>
      <c r="M17" s="58"/>
      <c r="N17" s="59"/>
      <c r="O17" s="66"/>
      <c r="P17" s="53" t="str">
        <f t="shared" si="3"/>
        <v/>
      </c>
      <c r="Q17" s="54"/>
      <c r="R17" s="55" t="str">
        <f t="shared" si="4"/>
        <v/>
      </c>
      <c r="S17" s="56" t="str">
        <f t="shared" si="5"/>
        <v/>
      </c>
      <c r="T17" s="57"/>
      <c r="U17" s="57"/>
      <c r="V17" s="58"/>
      <c r="W17" s="67"/>
      <c r="X17" s="53" t="str">
        <f t="shared" si="6"/>
        <v/>
      </c>
      <c r="Y17" s="61"/>
      <c r="Z17" s="55" t="str">
        <f t="shared" si="7"/>
        <v/>
      </c>
      <c r="AA17" s="62" t="str">
        <f t="shared" si="8"/>
        <v/>
      </c>
      <c r="AB17" s="63" t="str">
        <f t="shared" si="9"/>
        <v/>
      </c>
    </row>
    <row r="18" ht="15">
      <c r="A18" s="64">
        <v>3</v>
      </c>
      <c r="B18" s="48"/>
      <c r="C18" s="49"/>
      <c r="D18" s="50"/>
      <c r="E18" s="51"/>
      <c r="F18" s="51"/>
      <c r="G18" s="65"/>
      <c r="H18" s="53" t="str">
        <f t="shared" si="0"/>
        <v/>
      </c>
      <c r="I18" s="54"/>
      <c r="J18" s="55" t="str">
        <f t="shared" si="1"/>
        <v/>
      </c>
      <c r="K18" s="56" t="str">
        <f t="shared" si="2"/>
        <v/>
      </c>
      <c r="L18" s="57"/>
      <c r="M18" s="58"/>
      <c r="N18" s="59"/>
      <c r="O18" s="66"/>
      <c r="P18" s="53" t="str">
        <f t="shared" si="3"/>
        <v/>
      </c>
      <c r="Q18" s="54"/>
      <c r="R18" s="55" t="str">
        <f t="shared" si="4"/>
        <v/>
      </c>
      <c r="S18" s="56" t="str">
        <f t="shared" si="5"/>
        <v/>
      </c>
      <c r="T18" s="57"/>
      <c r="U18" s="57"/>
      <c r="V18" s="58"/>
      <c r="W18" s="67"/>
      <c r="X18" s="53" t="str">
        <f t="shared" si="6"/>
        <v/>
      </c>
      <c r="Y18" s="61"/>
      <c r="Z18" s="55" t="str">
        <f t="shared" si="7"/>
        <v/>
      </c>
      <c r="AA18" s="62" t="str">
        <f t="shared" si="8"/>
        <v/>
      </c>
      <c r="AB18" s="63" t="str">
        <f t="shared" si="9"/>
        <v/>
      </c>
    </row>
    <row r="19" ht="15">
      <c r="A19" s="64">
        <v>4</v>
      </c>
      <c r="B19" s="48"/>
      <c r="C19" s="49"/>
      <c r="D19" s="50"/>
      <c r="E19" s="51"/>
      <c r="F19" s="51"/>
      <c r="G19" s="65"/>
      <c r="H19" s="53" t="str">
        <f t="shared" si="0"/>
        <v/>
      </c>
      <c r="I19" s="54"/>
      <c r="J19" s="55" t="str">
        <f t="shared" si="1"/>
        <v/>
      </c>
      <c r="K19" s="56" t="str">
        <f t="shared" si="2"/>
        <v/>
      </c>
      <c r="L19" s="57"/>
      <c r="M19" s="58"/>
      <c r="N19" s="59"/>
      <c r="O19" s="66"/>
      <c r="P19" s="53" t="str">
        <f t="shared" si="3"/>
        <v/>
      </c>
      <c r="Q19" s="54"/>
      <c r="R19" s="55" t="str">
        <f t="shared" si="4"/>
        <v/>
      </c>
      <c r="S19" s="56" t="str">
        <f t="shared" si="5"/>
        <v/>
      </c>
      <c r="T19" s="57"/>
      <c r="U19" s="57"/>
      <c r="V19" s="58"/>
      <c r="W19" s="67"/>
      <c r="X19" s="53" t="str">
        <f t="shared" si="6"/>
        <v/>
      </c>
      <c r="Y19" s="61"/>
      <c r="Z19" s="55" t="str">
        <f t="shared" si="7"/>
        <v/>
      </c>
      <c r="AA19" s="62" t="str">
        <f t="shared" si="8"/>
        <v/>
      </c>
      <c r="AB19" s="63" t="str">
        <f t="shared" si="9"/>
        <v/>
      </c>
    </row>
    <row r="20" ht="15">
      <c r="A20" s="64">
        <v>5</v>
      </c>
      <c r="B20" s="48"/>
      <c r="C20" s="49"/>
      <c r="D20" s="50"/>
      <c r="E20" s="51"/>
      <c r="F20" s="51"/>
      <c r="G20" s="65"/>
      <c r="H20" s="53" t="str">
        <f t="shared" si="0"/>
        <v/>
      </c>
      <c r="I20" s="54"/>
      <c r="J20" s="55" t="str">
        <f t="shared" si="1"/>
        <v/>
      </c>
      <c r="K20" s="56" t="str">
        <f t="shared" si="2"/>
        <v/>
      </c>
      <c r="L20" s="57"/>
      <c r="M20" s="58"/>
      <c r="N20" s="59"/>
      <c r="O20" s="66"/>
      <c r="P20" s="53" t="str">
        <f t="shared" si="3"/>
        <v/>
      </c>
      <c r="Q20" s="54"/>
      <c r="R20" s="55" t="str">
        <f t="shared" si="4"/>
        <v/>
      </c>
      <c r="S20" s="56" t="str">
        <f t="shared" si="5"/>
        <v/>
      </c>
      <c r="T20" s="57"/>
      <c r="U20" s="57"/>
      <c r="V20" s="58"/>
      <c r="W20" s="67"/>
      <c r="X20" s="53" t="str">
        <f t="shared" si="6"/>
        <v/>
      </c>
      <c r="Y20" s="61"/>
      <c r="Z20" s="55" t="str">
        <f t="shared" si="7"/>
        <v/>
      </c>
      <c r="AA20" s="62" t="str">
        <f t="shared" si="8"/>
        <v/>
      </c>
      <c r="AB20" s="63" t="str">
        <f t="shared" si="9"/>
        <v/>
      </c>
    </row>
    <row r="21" ht="15">
      <c r="A21" s="64">
        <v>6</v>
      </c>
      <c r="B21" s="48"/>
      <c r="C21" s="49"/>
      <c r="D21" s="50"/>
      <c r="E21" s="51"/>
      <c r="F21" s="51"/>
      <c r="G21" s="65"/>
      <c r="H21" s="53" t="str">
        <f t="shared" si="0"/>
        <v/>
      </c>
      <c r="I21" s="54"/>
      <c r="J21" s="55" t="str">
        <f t="shared" si="1"/>
        <v/>
      </c>
      <c r="K21" s="56" t="str">
        <f t="shared" si="2"/>
        <v/>
      </c>
      <c r="L21" s="57"/>
      <c r="M21" s="58"/>
      <c r="N21" s="59"/>
      <c r="O21" s="66"/>
      <c r="P21" s="53" t="str">
        <f t="shared" si="3"/>
        <v/>
      </c>
      <c r="Q21" s="54"/>
      <c r="R21" s="55" t="str">
        <f t="shared" si="4"/>
        <v/>
      </c>
      <c r="S21" s="56" t="str">
        <f t="shared" si="5"/>
        <v/>
      </c>
      <c r="T21" s="57"/>
      <c r="U21" s="57"/>
      <c r="V21" s="58"/>
      <c r="W21" s="67"/>
      <c r="X21" s="53" t="str">
        <f t="shared" si="6"/>
        <v/>
      </c>
      <c r="Y21" s="61"/>
      <c r="Z21" s="55" t="str">
        <f t="shared" si="7"/>
        <v/>
      </c>
      <c r="AA21" s="62" t="str">
        <f t="shared" si="8"/>
        <v/>
      </c>
      <c r="AB21" s="63" t="str">
        <f t="shared" si="9"/>
        <v/>
      </c>
    </row>
    <row r="22" ht="15">
      <c r="A22" s="47">
        <v>7</v>
      </c>
      <c r="B22" s="48"/>
      <c r="C22" s="49"/>
      <c r="D22" s="50"/>
      <c r="E22" s="51"/>
      <c r="F22" s="51"/>
      <c r="G22" s="65"/>
      <c r="H22" s="53" t="str">
        <f t="shared" si="0"/>
        <v/>
      </c>
      <c r="I22" s="54"/>
      <c r="J22" s="55" t="str">
        <f t="shared" si="1"/>
        <v/>
      </c>
      <c r="K22" s="56" t="str">
        <f t="shared" si="2"/>
        <v/>
      </c>
      <c r="L22" s="57"/>
      <c r="M22" s="58"/>
      <c r="N22" s="59"/>
      <c r="O22" s="66"/>
      <c r="P22" s="53" t="str">
        <f t="shared" si="3"/>
        <v/>
      </c>
      <c r="Q22" s="54"/>
      <c r="R22" s="55" t="str">
        <f t="shared" si="4"/>
        <v/>
      </c>
      <c r="S22" s="56" t="str">
        <f t="shared" si="5"/>
        <v/>
      </c>
      <c r="T22" s="57"/>
      <c r="U22" s="57"/>
      <c r="V22" s="58"/>
      <c r="W22" s="67"/>
      <c r="X22" s="53" t="str">
        <f t="shared" si="6"/>
        <v/>
      </c>
      <c r="Y22" s="61"/>
      <c r="Z22" s="55" t="str">
        <f t="shared" si="7"/>
        <v/>
      </c>
      <c r="AA22" s="62" t="str">
        <f t="shared" si="8"/>
        <v/>
      </c>
      <c r="AB22" s="63" t="str">
        <f t="shared" si="9"/>
        <v/>
      </c>
    </row>
    <row r="23" ht="15">
      <c r="A23" s="64">
        <v>8</v>
      </c>
      <c r="B23" s="48"/>
      <c r="C23" s="49"/>
      <c r="D23" s="50"/>
      <c r="E23" s="51"/>
      <c r="F23" s="51"/>
      <c r="G23" s="65"/>
      <c r="H23" s="53" t="str">
        <f t="shared" si="0"/>
        <v/>
      </c>
      <c r="I23" s="54"/>
      <c r="J23" s="55" t="str">
        <f t="shared" si="1"/>
        <v/>
      </c>
      <c r="K23" s="56" t="str">
        <f t="shared" si="2"/>
        <v/>
      </c>
      <c r="L23" s="57"/>
      <c r="M23" s="58"/>
      <c r="N23" s="59"/>
      <c r="O23" s="66"/>
      <c r="P23" s="53" t="str">
        <f t="shared" si="3"/>
        <v/>
      </c>
      <c r="Q23" s="54"/>
      <c r="R23" s="55" t="str">
        <f t="shared" si="4"/>
        <v/>
      </c>
      <c r="S23" s="56" t="str">
        <f t="shared" si="5"/>
        <v/>
      </c>
      <c r="T23" s="57"/>
      <c r="U23" s="57"/>
      <c r="V23" s="58"/>
      <c r="W23" s="67"/>
      <c r="X23" s="53" t="str">
        <f t="shared" si="6"/>
        <v/>
      </c>
      <c r="Y23" s="61"/>
      <c r="Z23" s="55" t="str">
        <f t="shared" si="7"/>
        <v/>
      </c>
      <c r="AA23" s="62" t="str">
        <f t="shared" si="8"/>
        <v/>
      </c>
      <c r="AB23" s="63" t="str">
        <f t="shared" si="9"/>
        <v/>
      </c>
    </row>
    <row r="24" ht="15">
      <c r="A24" s="64">
        <v>9</v>
      </c>
      <c r="B24" s="48"/>
      <c r="C24" s="49"/>
      <c r="D24" s="50"/>
      <c r="E24" s="51"/>
      <c r="F24" s="51"/>
      <c r="G24" s="65"/>
      <c r="H24" s="53" t="str">
        <f t="shared" si="0"/>
        <v/>
      </c>
      <c r="I24" s="54"/>
      <c r="J24" s="55" t="str">
        <f t="shared" si="1"/>
        <v/>
      </c>
      <c r="K24" s="56" t="str">
        <f t="shared" si="2"/>
        <v/>
      </c>
      <c r="L24" s="57"/>
      <c r="M24" s="58"/>
      <c r="N24" s="59"/>
      <c r="O24" s="66"/>
      <c r="P24" s="53" t="str">
        <f t="shared" si="3"/>
        <v/>
      </c>
      <c r="Q24" s="54"/>
      <c r="R24" s="55" t="str">
        <f t="shared" si="4"/>
        <v/>
      </c>
      <c r="S24" s="56" t="str">
        <f t="shared" si="5"/>
        <v/>
      </c>
      <c r="T24" s="57"/>
      <c r="U24" s="57"/>
      <c r="V24" s="58"/>
      <c r="W24" s="67"/>
      <c r="X24" s="53" t="str">
        <f t="shared" si="6"/>
        <v/>
      </c>
      <c r="Y24" s="61"/>
      <c r="Z24" s="55" t="str">
        <f t="shared" si="7"/>
        <v/>
      </c>
      <c r="AA24" s="62" t="str">
        <f t="shared" si="8"/>
        <v/>
      </c>
      <c r="AB24" s="63" t="str">
        <f t="shared" si="9"/>
        <v/>
      </c>
    </row>
    <row r="25" ht="15">
      <c r="A25" s="64">
        <v>10</v>
      </c>
      <c r="B25" s="48"/>
      <c r="C25" s="49"/>
      <c r="D25" s="50"/>
      <c r="E25" s="51"/>
      <c r="F25" s="51"/>
      <c r="G25" s="65"/>
      <c r="H25" s="53" t="str">
        <f t="shared" si="0"/>
        <v/>
      </c>
      <c r="I25" s="54"/>
      <c r="J25" s="55" t="str">
        <f t="shared" si="1"/>
        <v/>
      </c>
      <c r="K25" s="56" t="str">
        <f t="shared" si="2"/>
        <v/>
      </c>
      <c r="L25" s="57"/>
      <c r="M25" s="58"/>
      <c r="N25" s="59"/>
      <c r="O25" s="66"/>
      <c r="P25" s="53" t="str">
        <f t="shared" si="3"/>
        <v/>
      </c>
      <c r="Q25" s="54"/>
      <c r="R25" s="55" t="str">
        <f t="shared" si="4"/>
        <v/>
      </c>
      <c r="S25" s="56" t="str">
        <f t="shared" si="5"/>
        <v/>
      </c>
      <c r="T25" s="57"/>
      <c r="U25" s="57"/>
      <c r="V25" s="58"/>
      <c r="W25" s="67"/>
      <c r="X25" s="53" t="str">
        <f t="shared" si="6"/>
        <v/>
      </c>
      <c r="Y25" s="61"/>
      <c r="Z25" s="55" t="str">
        <f t="shared" si="7"/>
        <v/>
      </c>
      <c r="AA25" s="62" t="str">
        <f t="shared" si="8"/>
        <v/>
      </c>
      <c r="AB25" s="63" t="str">
        <f t="shared" si="9"/>
        <v/>
      </c>
    </row>
    <row r="26" ht="15">
      <c r="A26" s="47">
        <v>11</v>
      </c>
      <c r="B26" s="48"/>
      <c r="C26" s="49"/>
      <c r="D26" s="50"/>
      <c r="E26" s="51"/>
      <c r="F26" s="51"/>
      <c r="G26" s="65"/>
      <c r="H26" s="53" t="str">
        <f t="shared" si="0"/>
        <v/>
      </c>
      <c r="I26" s="54"/>
      <c r="J26" s="55" t="str">
        <f t="shared" si="1"/>
        <v/>
      </c>
      <c r="K26" s="56" t="str">
        <f t="shared" si="2"/>
        <v/>
      </c>
      <c r="L26" s="57"/>
      <c r="M26" s="58"/>
      <c r="N26" s="59"/>
      <c r="O26" s="66"/>
      <c r="P26" s="53" t="str">
        <f t="shared" si="3"/>
        <v/>
      </c>
      <c r="Q26" s="54"/>
      <c r="R26" s="55" t="str">
        <f t="shared" si="4"/>
        <v/>
      </c>
      <c r="S26" s="56" t="str">
        <f t="shared" si="5"/>
        <v/>
      </c>
      <c r="T26" s="57"/>
      <c r="U26" s="57"/>
      <c r="V26" s="58"/>
      <c r="W26" s="67"/>
      <c r="X26" s="53" t="str">
        <f t="shared" si="6"/>
        <v/>
      </c>
      <c r="Y26" s="61"/>
      <c r="Z26" s="55" t="str">
        <f t="shared" si="7"/>
        <v/>
      </c>
      <c r="AA26" s="62" t="str">
        <f t="shared" si="8"/>
        <v/>
      </c>
      <c r="AB26" s="63" t="str">
        <f t="shared" si="9"/>
        <v/>
      </c>
    </row>
    <row r="27" ht="15">
      <c r="A27" s="64">
        <v>12</v>
      </c>
      <c r="B27" s="48"/>
      <c r="C27" s="49"/>
      <c r="D27" s="50"/>
      <c r="E27" s="51"/>
      <c r="F27" s="51"/>
      <c r="G27" s="65"/>
      <c r="H27" s="53" t="str">
        <f t="shared" si="0"/>
        <v/>
      </c>
      <c r="I27" s="54"/>
      <c r="J27" s="55" t="str">
        <f t="shared" si="1"/>
        <v/>
      </c>
      <c r="K27" s="56" t="str">
        <f t="shared" si="2"/>
        <v/>
      </c>
      <c r="L27" s="57"/>
      <c r="M27" s="58"/>
      <c r="N27" s="59"/>
      <c r="O27" s="66"/>
      <c r="P27" s="53" t="str">
        <f t="shared" si="3"/>
        <v/>
      </c>
      <c r="Q27" s="54"/>
      <c r="R27" s="55" t="str">
        <f t="shared" si="4"/>
        <v/>
      </c>
      <c r="S27" s="56" t="str">
        <f t="shared" si="5"/>
        <v/>
      </c>
      <c r="T27" s="57"/>
      <c r="U27" s="57"/>
      <c r="V27" s="58"/>
      <c r="W27" s="67"/>
      <c r="X27" s="53" t="str">
        <f t="shared" si="6"/>
        <v/>
      </c>
      <c r="Y27" s="61"/>
      <c r="Z27" s="55" t="str">
        <f t="shared" si="7"/>
        <v/>
      </c>
      <c r="AA27" s="62" t="str">
        <f t="shared" si="8"/>
        <v/>
      </c>
      <c r="AB27" s="63" t="str">
        <f t="shared" si="9"/>
        <v/>
      </c>
    </row>
    <row r="28" ht="15">
      <c r="A28" s="64">
        <v>13</v>
      </c>
      <c r="B28" s="48"/>
      <c r="C28" s="49"/>
      <c r="D28" s="50"/>
      <c r="E28" s="51"/>
      <c r="F28" s="51"/>
      <c r="G28" s="65"/>
      <c r="H28" s="53" t="str">
        <f t="shared" si="0"/>
        <v/>
      </c>
      <c r="I28" s="54"/>
      <c r="J28" s="55" t="str">
        <f t="shared" si="1"/>
        <v/>
      </c>
      <c r="K28" s="56" t="str">
        <f t="shared" si="2"/>
        <v/>
      </c>
      <c r="L28" s="57"/>
      <c r="M28" s="58"/>
      <c r="N28" s="59"/>
      <c r="O28" s="66"/>
      <c r="P28" s="53" t="str">
        <f t="shared" si="3"/>
        <v/>
      </c>
      <c r="Q28" s="54"/>
      <c r="R28" s="55" t="str">
        <f t="shared" si="4"/>
        <v/>
      </c>
      <c r="S28" s="56" t="str">
        <f t="shared" si="5"/>
        <v/>
      </c>
      <c r="T28" s="57"/>
      <c r="U28" s="57"/>
      <c r="V28" s="58"/>
      <c r="W28" s="67"/>
      <c r="X28" s="53" t="str">
        <f t="shared" si="6"/>
        <v/>
      </c>
      <c r="Y28" s="61"/>
      <c r="Z28" s="55" t="str">
        <f t="shared" si="7"/>
        <v/>
      </c>
      <c r="AA28" s="62" t="str">
        <f t="shared" si="8"/>
        <v/>
      </c>
      <c r="AB28" s="63" t="str">
        <f t="shared" si="9"/>
        <v/>
      </c>
    </row>
    <row r="29" ht="15">
      <c r="A29" s="64">
        <v>14</v>
      </c>
      <c r="B29" s="48"/>
      <c r="C29" s="49"/>
      <c r="D29" s="50"/>
      <c r="E29" s="51"/>
      <c r="F29" s="51"/>
      <c r="G29" s="65"/>
      <c r="H29" s="53" t="str">
        <f t="shared" si="0"/>
        <v/>
      </c>
      <c r="I29" s="54"/>
      <c r="J29" s="55" t="str">
        <f t="shared" si="1"/>
        <v/>
      </c>
      <c r="K29" s="56" t="str">
        <f t="shared" si="2"/>
        <v/>
      </c>
      <c r="L29" s="57"/>
      <c r="M29" s="58"/>
      <c r="N29" s="59"/>
      <c r="O29" s="66"/>
      <c r="P29" s="53" t="str">
        <f t="shared" si="3"/>
        <v/>
      </c>
      <c r="Q29" s="54"/>
      <c r="R29" s="55" t="str">
        <f t="shared" si="4"/>
        <v/>
      </c>
      <c r="S29" s="56" t="str">
        <f t="shared" si="5"/>
        <v/>
      </c>
      <c r="T29" s="57"/>
      <c r="U29" s="57"/>
      <c r="V29" s="58"/>
      <c r="W29" s="67"/>
      <c r="X29" s="53" t="str">
        <f t="shared" si="6"/>
        <v/>
      </c>
      <c r="Y29" s="61"/>
      <c r="Z29" s="55" t="str">
        <f t="shared" si="7"/>
        <v/>
      </c>
      <c r="AA29" s="62" t="str">
        <f t="shared" si="8"/>
        <v/>
      </c>
      <c r="AB29" s="63" t="str">
        <f t="shared" si="9"/>
        <v/>
      </c>
    </row>
    <row r="30" ht="15">
      <c r="A30" s="64">
        <v>15</v>
      </c>
      <c r="B30" s="48"/>
      <c r="C30" s="49"/>
      <c r="D30" s="50"/>
      <c r="E30" s="51"/>
      <c r="F30" s="51"/>
      <c r="G30" s="65"/>
      <c r="H30" s="53" t="str">
        <f t="shared" si="0"/>
        <v/>
      </c>
      <c r="I30" s="54"/>
      <c r="J30" s="55" t="str">
        <f t="shared" si="1"/>
        <v/>
      </c>
      <c r="K30" s="56" t="str">
        <f t="shared" si="2"/>
        <v/>
      </c>
      <c r="L30" s="57"/>
      <c r="M30" s="58"/>
      <c r="N30" s="59"/>
      <c r="O30" s="66"/>
      <c r="P30" s="53" t="str">
        <f t="shared" si="3"/>
        <v/>
      </c>
      <c r="Q30" s="54"/>
      <c r="R30" s="55" t="str">
        <f t="shared" si="4"/>
        <v/>
      </c>
      <c r="S30" s="56" t="str">
        <f t="shared" si="5"/>
        <v/>
      </c>
      <c r="T30" s="57"/>
      <c r="U30" s="57"/>
      <c r="V30" s="58"/>
      <c r="W30" s="67"/>
      <c r="X30" s="53" t="str">
        <f t="shared" si="6"/>
        <v/>
      </c>
      <c r="Y30" s="61"/>
      <c r="Z30" s="55" t="str">
        <f t="shared" si="7"/>
        <v/>
      </c>
      <c r="AA30" s="62" t="str">
        <f t="shared" si="8"/>
        <v/>
      </c>
      <c r="AB30" s="63" t="str">
        <f t="shared" si="9"/>
        <v/>
      </c>
    </row>
    <row r="31" ht="15">
      <c r="A31" s="64">
        <v>16</v>
      </c>
      <c r="B31" s="48"/>
      <c r="C31" s="49"/>
      <c r="D31" s="50"/>
      <c r="E31" s="51"/>
      <c r="F31" s="51"/>
      <c r="G31" s="65"/>
      <c r="H31" s="53" t="str">
        <f t="shared" si="0"/>
        <v/>
      </c>
      <c r="I31" s="54"/>
      <c r="J31" s="55" t="str">
        <f t="shared" si="1"/>
        <v/>
      </c>
      <c r="K31" s="56" t="str">
        <f t="shared" si="2"/>
        <v/>
      </c>
      <c r="L31" s="57"/>
      <c r="M31" s="58"/>
      <c r="N31" s="59"/>
      <c r="O31" s="66"/>
      <c r="P31" s="53" t="str">
        <f t="shared" si="3"/>
        <v/>
      </c>
      <c r="Q31" s="54"/>
      <c r="R31" s="55" t="str">
        <f t="shared" si="4"/>
        <v/>
      </c>
      <c r="S31" s="56" t="str">
        <f t="shared" si="5"/>
        <v/>
      </c>
      <c r="T31" s="57"/>
      <c r="U31" s="57"/>
      <c r="V31" s="58"/>
      <c r="W31" s="67"/>
      <c r="X31" s="53" t="str">
        <f t="shared" si="6"/>
        <v/>
      </c>
      <c r="Y31" s="61"/>
      <c r="Z31" s="55" t="str">
        <f t="shared" si="7"/>
        <v/>
      </c>
      <c r="AA31" s="62" t="str">
        <f t="shared" si="8"/>
        <v/>
      </c>
      <c r="AB31" s="63" t="str">
        <f t="shared" si="9"/>
        <v/>
      </c>
    </row>
    <row r="32" ht="15">
      <c r="A32" s="47">
        <v>17</v>
      </c>
      <c r="B32" s="48"/>
      <c r="C32" s="49"/>
      <c r="D32" s="50"/>
      <c r="E32" s="51"/>
      <c r="F32" s="51"/>
      <c r="G32" s="65"/>
      <c r="H32" s="53" t="str">
        <f t="shared" si="0"/>
        <v/>
      </c>
      <c r="I32" s="54"/>
      <c r="J32" s="55" t="str">
        <f t="shared" si="1"/>
        <v/>
      </c>
      <c r="K32" s="56" t="str">
        <f t="shared" si="2"/>
        <v/>
      </c>
      <c r="L32" s="57"/>
      <c r="M32" s="58"/>
      <c r="N32" s="59"/>
      <c r="O32" s="66"/>
      <c r="P32" s="53" t="str">
        <f t="shared" si="3"/>
        <v/>
      </c>
      <c r="Q32" s="54"/>
      <c r="R32" s="55" t="str">
        <f t="shared" si="4"/>
        <v/>
      </c>
      <c r="S32" s="56" t="str">
        <f t="shared" si="5"/>
        <v/>
      </c>
      <c r="T32" s="57"/>
      <c r="U32" s="57"/>
      <c r="V32" s="58"/>
      <c r="W32" s="67"/>
      <c r="X32" s="53" t="str">
        <f t="shared" si="6"/>
        <v/>
      </c>
      <c r="Y32" s="61"/>
      <c r="Z32" s="55" t="str">
        <f t="shared" si="7"/>
        <v/>
      </c>
      <c r="AA32" s="62" t="str">
        <f t="shared" si="8"/>
        <v/>
      </c>
      <c r="AB32" s="63" t="str">
        <f t="shared" si="9"/>
        <v/>
      </c>
    </row>
    <row r="33" ht="15">
      <c r="A33" s="64">
        <v>18</v>
      </c>
      <c r="B33" s="48"/>
      <c r="C33" s="49"/>
      <c r="D33" s="50"/>
      <c r="E33" s="51"/>
      <c r="F33" s="51"/>
      <c r="G33" s="65"/>
      <c r="H33" s="53" t="str">
        <f t="shared" si="0"/>
        <v/>
      </c>
      <c r="I33" s="54"/>
      <c r="J33" s="55" t="str">
        <f t="shared" si="1"/>
        <v/>
      </c>
      <c r="K33" s="56" t="str">
        <f t="shared" si="2"/>
        <v/>
      </c>
      <c r="L33" s="57"/>
      <c r="M33" s="58"/>
      <c r="N33" s="59"/>
      <c r="O33" s="66"/>
      <c r="P33" s="53" t="str">
        <f t="shared" si="3"/>
        <v/>
      </c>
      <c r="Q33" s="54"/>
      <c r="R33" s="55" t="str">
        <f t="shared" si="4"/>
        <v/>
      </c>
      <c r="S33" s="56" t="str">
        <f t="shared" si="5"/>
        <v/>
      </c>
      <c r="T33" s="57"/>
      <c r="U33" s="57"/>
      <c r="V33" s="58"/>
      <c r="W33" s="67"/>
      <c r="X33" s="53" t="str">
        <f t="shared" si="6"/>
        <v/>
      </c>
      <c r="Y33" s="61"/>
      <c r="Z33" s="55" t="str">
        <f t="shared" si="7"/>
        <v/>
      </c>
      <c r="AA33" s="62" t="str">
        <f t="shared" si="8"/>
        <v/>
      </c>
      <c r="AB33" s="63" t="str">
        <f t="shared" si="9"/>
        <v/>
      </c>
    </row>
    <row r="34" ht="15">
      <c r="A34" s="64">
        <v>19</v>
      </c>
      <c r="B34" s="48"/>
      <c r="C34" s="49"/>
      <c r="D34" s="50"/>
      <c r="E34" s="51"/>
      <c r="F34" s="51"/>
      <c r="G34" s="65"/>
      <c r="H34" s="53" t="str">
        <f t="shared" si="0"/>
        <v/>
      </c>
      <c r="I34" s="54"/>
      <c r="J34" s="55" t="str">
        <f t="shared" si="1"/>
        <v/>
      </c>
      <c r="K34" s="56" t="str">
        <f t="shared" si="2"/>
        <v/>
      </c>
      <c r="L34" s="57"/>
      <c r="M34" s="58"/>
      <c r="N34" s="59"/>
      <c r="O34" s="66"/>
      <c r="P34" s="53" t="str">
        <f t="shared" si="3"/>
        <v/>
      </c>
      <c r="Q34" s="54"/>
      <c r="R34" s="55" t="str">
        <f t="shared" si="4"/>
        <v/>
      </c>
      <c r="S34" s="56" t="str">
        <f t="shared" si="5"/>
        <v/>
      </c>
      <c r="T34" s="57"/>
      <c r="U34" s="57"/>
      <c r="V34" s="58"/>
      <c r="W34" s="67"/>
      <c r="X34" s="53" t="str">
        <f t="shared" si="6"/>
        <v/>
      </c>
      <c r="Y34" s="61"/>
      <c r="Z34" s="55" t="str">
        <f t="shared" si="7"/>
        <v/>
      </c>
      <c r="AA34" s="62" t="str">
        <f t="shared" si="8"/>
        <v/>
      </c>
      <c r="AB34" s="63" t="str">
        <f t="shared" si="9"/>
        <v/>
      </c>
    </row>
    <row r="35" ht="15">
      <c r="A35" s="64">
        <v>20</v>
      </c>
      <c r="B35" s="48"/>
      <c r="C35" s="49"/>
      <c r="D35" s="50"/>
      <c r="E35" s="51"/>
      <c r="F35" s="51"/>
      <c r="G35" s="65"/>
      <c r="H35" s="53" t="str">
        <f t="shared" si="0"/>
        <v/>
      </c>
      <c r="I35" s="54"/>
      <c r="J35" s="55" t="str">
        <f t="shared" si="1"/>
        <v/>
      </c>
      <c r="K35" s="56" t="str">
        <f t="shared" si="2"/>
        <v/>
      </c>
      <c r="L35" s="57"/>
      <c r="M35" s="58"/>
      <c r="N35" s="59"/>
      <c r="O35" s="66"/>
      <c r="P35" s="53" t="str">
        <f t="shared" si="3"/>
        <v/>
      </c>
      <c r="Q35" s="54"/>
      <c r="R35" s="55" t="str">
        <f t="shared" si="4"/>
        <v/>
      </c>
      <c r="S35" s="56" t="str">
        <f t="shared" si="5"/>
        <v/>
      </c>
      <c r="T35" s="57"/>
      <c r="U35" s="57"/>
      <c r="V35" s="58"/>
      <c r="W35" s="67"/>
      <c r="X35" s="53" t="str">
        <f t="shared" si="6"/>
        <v/>
      </c>
      <c r="Y35" s="61"/>
      <c r="Z35" s="55" t="str">
        <f t="shared" si="7"/>
        <v/>
      </c>
      <c r="AA35" s="62" t="str">
        <f t="shared" si="8"/>
        <v/>
      </c>
      <c r="AB35" s="63" t="str">
        <f t="shared" si="9"/>
        <v/>
      </c>
    </row>
    <row r="36" ht="15">
      <c r="A36" s="47">
        <v>21</v>
      </c>
      <c r="B36" s="48"/>
      <c r="C36" s="49"/>
      <c r="D36" s="50"/>
      <c r="E36" s="51"/>
      <c r="F36" s="51"/>
      <c r="G36" s="65"/>
      <c r="H36" s="53" t="str">
        <f t="shared" si="0"/>
        <v/>
      </c>
      <c r="I36" s="54"/>
      <c r="J36" s="55" t="str">
        <f t="shared" si="1"/>
        <v/>
      </c>
      <c r="K36" s="56" t="str">
        <f t="shared" si="2"/>
        <v/>
      </c>
      <c r="L36" s="57"/>
      <c r="M36" s="58"/>
      <c r="N36" s="59"/>
      <c r="O36" s="66"/>
      <c r="P36" s="53" t="str">
        <f t="shared" si="3"/>
        <v/>
      </c>
      <c r="Q36" s="54"/>
      <c r="R36" s="55" t="str">
        <f t="shared" si="4"/>
        <v/>
      </c>
      <c r="S36" s="56" t="str">
        <f t="shared" si="5"/>
        <v/>
      </c>
      <c r="T36" s="57"/>
      <c r="U36" s="57"/>
      <c r="V36" s="58"/>
      <c r="W36" s="67"/>
      <c r="X36" s="53" t="str">
        <f t="shared" si="6"/>
        <v/>
      </c>
      <c r="Y36" s="61"/>
      <c r="Z36" s="55" t="str">
        <f t="shared" si="7"/>
        <v/>
      </c>
      <c r="AA36" s="62" t="str">
        <f t="shared" si="8"/>
        <v/>
      </c>
      <c r="AB36" s="63" t="str">
        <f t="shared" si="9"/>
        <v/>
      </c>
    </row>
    <row r="37" ht="15">
      <c r="A37" s="64">
        <v>22</v>
      </c>
      <c r="B37" s="48"/>
      <c r="C37" s="49"/>
      <c r="D37" s="50"/>
      <c r="E37" s="51"/>
      <c r="F37" s="51"/>
      <c r="G37" s="65"/>
      <c r="H37" s="53" t="str">
        <f t="shared" si="0"/>
        <v/>
      </c>
      <c r="I37" s="54"/>
      <c r="J37" s="55" t="str">
        <f t="shared" si="1"/>
        <v/>
      </c>
      <c r="K37" s="56" t="str">
        <f t="shared" si="2"/>
        <v/>
      </c>
      <c r="L37" s="57"/>
      <c r="M37" s="58"/>
      <c r="N37" s="59"/>
      <c r="O37" s="66"/>
      <c r="P37" s="53" t="str">
        <f t="shared" si="3"/>
        <v/>
      </c>
      <c r="Q37" s="54"/>
      <c r="R37" s="55" t="str">
        <f t="shared" si="4"/>
        <v/>
      </c>
      <c r="S37" s="56" t="str">
        <f t="shared" si="5"/>
        <v/>
      </c>
      <c r="T37" s="57"/>
      <c r="U37" s="57"/>
      <c r="V37" s="58"/>
      <c r="W37" s="67"/>
      <c r="X37" s="53" t="str">
        <f t="shared" si="6"/>
        <v/>
      </c>
      <c r="Y37" s="61"/>
      <c r="Z37" s="55" t="str">
        <f t="shared" si="7"/>
        <v/>
      </c>
      <c r="AA37" s="62" t="str">
        <f t="shared" si="8"/>
        <v/>
      </c>
      <c r="AB37" s="63" t="str">
        <f t="shared" si="9"/>
        <v/>
      </c>
    </row>
    <row r="38" ht="15">
      <c r="A38" s="64">
        <v>23</v>
      </c>
      <c r="B38" s="48"/>
      <c r="C38" s="49"/>
      <c r="D38" s="50"/>
      <c r="E38" s="51"/>
      <c r="F38" s="51"/>
      <c r="G38" s="65"/>
      <c r="H38" s="53" t="str">
        <f t="shared" si="0"/>
        <v/>
      </c>
      <c r="I38" s="54"/>
      <c r="J38" s="55" t="str">
        <f t="shared" si="1"/>
        <v/>
      </c>
      <c r="K38" s="56" t="str">
        <f t="shared" si="2"/>
        <v/>
      </c>
      <c r="L38" s="57"/>
      <c r="M38" s="58"/>
      <c r="N38" s="59"/>
      <c r="O38" s="66"/>
      <c r="P38" s="53" t="str">
        <f t="shared" si="3"/>
        <v/>
      </c>
      <c r="Q38" s="54"/>
      <c r="R38" s="55" t="str">
        <f t="shared" si="4"/>
        <v/>
      </c>
      <c r="S38" s="56" t="str">
        <f t="shared" si="5"/>
        <v/>
      </c>
      <c r="T38" s="57"/>
      <c r="U38" s="57"/>
      <c r="V38" s="58"/>
      <c r="W38" s="67"/>
      <c r="X38" s="53" t="str">
        <f t="shared" si="6"/>
        <v/>
      </c>
      <c r="Y38" s="61"/>
      <c r="Z38" s="55" t="str">
        <f t="shared" si="7"/>
        <v/>
      </c>
      <c r="AA38" s="62" t="str">
        <f t="shared" si="8"/>
        <v/>
      </c>
      <c r="AB38" s="63" t="str">
        <f t="shared" si="9"/>
        <v/>
      </c>
    </row>
    <row r="39" ht="15">
      <c r="A39" s="64">
        <v>24</v>
      </c>
      <c r="B39" s="48"/>
      <c r="C39" s="49"/>
      <c r="D39" s="50"/>
      <c r="E39" s="51"/>
      <c r="F39" s="51"/>
      <c r="G39" s="65"/>
      <c r="H39" s="53" t="str">
        <f t="shared" si="0"/>
        <v/>
      </c>
      <c r="I39" s="54"/>
      <c r="J39" s="55" t="str">
        <f t="shared" si="1"/>
        <v/>
      </c>
      <c r="K39" s="56" t="str">
        <f t="shared" si="2"/>
        <v/>
      </c>
      <c r="L39" s="57"/>
      <c r="M39" s="58"/>
      <c r="N39" s="59"/>
      <c r="O39" s="66"/>
      <c r="P39" s="53" t="str">
        <f t="shared" si="3"/>
        <v/>
      </c>
      <c r="Q39" s="54"/>
      <c r="R39" s="55" t="str">
        <f t="shared" si="4"/>
        <v/>
      </c>
      <c r="S39" s="56" t="str">
        <f t="shared" si="5"/>
        <v/>
      </c>
      <c r="T39" s="57"/>
      <c r="U39" s="57"/>
      <c r="V39" s="58"/>
      <c r="W39" s="67"/>
      <c r="X39" s="53" t="str">
        <f t="shared" si="6"/>
        <v/>
      </c>
      <c r="Y39" s="61"/>
      <c r="Z39" s="55" t="str">
        <f t="shared" si="7"/>
        <v/>
      </c>
      <c r="AA39" s="62" t="str">
        <f t="shared" si="8"/>
        <v/>
      </c>
      <c r="AB39" s="63" t="str">
        <f t="shared" si="9"/>
        <v/>
      </c>
    </row>
    <row r="40" ht="15">
      <c r="A40" s="64">
        <v>25</v>
      </c>
      <c r="B40" s="48"/>
      <c r="C40" s="49"/>
      <c r="D40" s="50"/>
      <c r="E40" s="51"/>
      <c r="F40" s="51"/>
      <c r="G40" s="65"/>
      <c r="H40" s="53" t="str">
        <f t="shared" si="0"/>
        <v/>
      </c>
      <c r="I40" s="54"/>
      <c r="J40" s="55" t="str">
        <f t="shared" si="1"/>
        <v/>
      </c>
      <c r="K40" s="56" t="str">
        <f t="shared" si="2"/>
        <v/>
      </c>
      <c r="L40" s="57"/>
      <c r="M40" s="58"/>
      <c r="N40" s="59"/>
      <c r="O40" s="66"/>
      <c r="P40" s="53" t="str">
        <f t="shared" si="3"/>
        <v/>
      </c>
      <c r="Q40" s="54"/>
      <c r="R40" s="55" t="str">
        <f t="shared" si="4"/>
        <v/>
      </c>
      <c r="S40" s="56" t="str">
        <f t="shared" si="5"/>
        <v/>
      </c>
      <c r="T40" s="57"/>
      <c r="U40" s="57"/>
      <c r="V40" s="58"/>
      <c r="W40" s="67"/>
      <c r="X40" s="53" t="str">
        <f t="shared" si="6"/>
        <v/>
      </c>
      <c r="Y40" s="61"/>
      <c r="Z40" s="55" t="str">
        <f t="shared" si="7"/>
        <v/>
      </c>
      <c r="AA40" s="62" t="str">
        <f t="shared" si="8"/>
        <v/>
      </c>
      <c r="AB40" s="63" t="str">
        <f t="shared" si="9"/>
        <v/>
      </c>
    </row>
    <row r="41" ht="15">
      <c r="A41" s="64">
        <v>26</v>
      </c>
      <c r="B41" s="48"/>
      <c r="C41" s="49"/>
      <c r="D41" s="50"/>
      <c r="E41" s="51"/>
      <c r="F41" s="51"/>
      <c r="G41" s="65"/>
      <c r="H41" s="53" t="str">
        <f t="shared" si="0"/>
        <v/>
      </c>
      <c r="I41" s="54"/>
      <c r="J41" s="55" t="str">
        <f t="shared" si="1"/>
        <v/>
      </c>
      <c r="K41" s="56" t="str">
        <f t="shared" si="2"/>
        <v/>
      </c>
      <c r="L41" s="57"/>
      <c r="M41" s="58"/>
      <c r="N41" s="59"/>
      <c r="O41" s="66"/>
      <c r="P41" s="53" t="str">
        <f t="shared" si="3"/>
        <v/>
      </c>
      <c r="Q41" s="54"/>
      <c r="R41" s="55" t="str">
        <f t="shared" si="4"/>
        <v/>
      </c>
      <c r="S41" s="56" t="str">
        <f t="shared" si="5"/>
        <v/>
      </c>
      <c r="T41" s="57"/>
      <c r="U41" s="57"/>
      <c r="V41" s="58"/>
      <c r="W41" s="67"/>
      <c r="X41" s="53" t="str">
        <f t="shared" si="6"/>
        <v/>
      </c>
      <c r="Y41" s="61"/>
      <c r="Z41" s="55" t="str">
        <f t="shared" si="7"/>
        <v/>
      </c>
      <c r="AA41" s="62" t="str">
        <f t="shared" si="8"/>
        <v/>
      </c>
      <c r="AB41" s="63" t="str">
        <f t="shared" si="9"/>
        <v/>
      </c>
    </row>
    <row r="42" ht="15">
      <c r="A42" s="47">
        <v>27</v>
      </c>
      <c r="B42" s="48"/>
      <c r="C42" s="49"/>
      <c r="D42" s="50"/>
      <c r="E42" s="51"/>
      <c r="F42" s="51"/>
      <c r="G42" s="65"/>
      <c r="H42" s="53" t="str">
        <f t="shared" si="0"/>
        <v/>
      </c>
      <c r="I42" s="54"/>
      <c r="J42" s="55" t="str">
        <f t="shared" si="1"/>
        <v/>
      </c>
      <c r="K42" s="56" t="str">
        <f t="shared" si="2"/>
        <v/>
      </c>
      <c r="L42" s="57"/>
      <c r="M42" s="58"/>
      <c r="N42" s="59"/>
      <c r="O42" s="66"/>
      <c r="P42" s="53" t="str">
        <f t="shared" si="3"/>
        <v/>
      </c>
      <c r="Q42" s="54"/>
      <c r="R42" s="55" t="str">
        <f t="shared" si="4"/>
        <v/>
      </c>
      <c r="S42" s="56" t="str">
        <f t="shared" si="5"/>
        <v/>
      </c>
      <c r="T42" s="57"/>
      <c r="U42" s="57"/>
      <c r="V42" s="58"/>
      <c r="W42" s="67"/>
      <c r="X42" s="53" t="str">
        <f t="shared" si="6"/>
        <v/>
      </c>
      <c r="Y42" s="61"/>
      <c r="Z42" s="55" t="str">
        <f t="shared" si="7"/>
        <v/>
      </c>
      <c r="AA42" s="62" t="str">
        <f t="shared" si="8"/>
        <v/>
      </c>
      <c r="AB42" s="63" t="str">
        <f t="shared" si="9"/>
        <v/>
      </c>
    </row>
    <row r="43" ht="15">
      <c r="A43" s="64">
        <v>28</v>
      </c>
      <c r="B43" s="48"/>
      <c r="C43" s="49"/>
      <c r="D43" s="50"/>
      <c r="E43" s="51"/>
      <c r="F43" s="51"/>
      <c r="G43" s="65"/>
      <c r="H43" s="53" t="str">
        <f t="shared" si="0"/>
        <v/>
      </c>
      <c r="I43" s="54"/>
      <c r="J43" s="55" t="str">
        <f t="shared" si="1"/>
        <v/>
      </c>
      <c r="K43" s="56" t="str">
        <f t="shared" si="2"/>
        <v/>
      </c>
      <c r="L43" s="57"/>
      <c r="M43" s="58"/>
      <c r="N43" s="59"/>
      <c r="O43" s="66"/>
      <c r="P43" s="53" t="str">
        <f t="shared" si="3"/>
        <v/>
      </c>
      <c r="Q43" s="54"/>
      <c r="R43" s="55" t="str">
        <f t="shared" si="4"/>
        <v/>
      </c>
      <c r="S43" s="56" t="str">
        <f t="shared" si="5"/>
        <v/>
      </c>
      <c r="T43" s="57"/>
      <c r="U43" s="57"/>
      <c r="V43" s="58"/>
      <c r="W43" s="67"/>
      <c r="X43" s="53" t="str">
        <f t="shared" si="6"/>
        <v/>
      </c>
      <c r="Y43" s="61"/>
      <c r="Z43" s="55" t="str">
        <f t="shared" si="7"/>
        <v/>
      </c>
      <c r="AA43" s="62" t="str">
        <f t="shared" si="8"/>
        <v/>
      </c>
      <c r="AB43" s="63" t="str">
        <f t="shared" si="9"/>
        <v/>
      </c>
    </row>
    <row r="44" ht="15">
      <c r="A44" s="64">
        <v>29</v>
      </c>
      <c r="B44" s="48"/>
      <c r="C44" s="49"/>
      <c r="D44" s="50"/>
      <c r="E44" s="51"/>
      <c r="F44" s="51"/>
      <c r="G44" s="65"/>
      <c r="H44" s="53" t="str">
        <f t="shared" si="0"/>
        <v/>
      </c>
      <c r="I44" s="54"/>
      <c r="J44" s="55" t="str">
        <f t="shared" si="1"/>
        <v/>
      </c>
      <c r="K44" s="56" t="str">
        <f t="shared" si="2"/>
        <v/>
      </c>
      <c r="L44" s="57"/>
      <c r="M44" s="58"/>
      <c r="N44" s="59"/>
      <c r="O44" s="66"/>
      <c r="P44" s="53" t="str">
        <f t="shared" si="3"/>
        <v/>
      </c>
      <c r="Q44" s="54"/>
      <c r="R44" s="55" t="str">
        <f t="shared" si="4"/>
        <v/>
      </c>
      <c r="S44" s="56" t="str">
        <f t="shared" si="5"/>
        <v/>
      </c>
      <c r="T44" s="57"/>
      <c r="U44" s="57"/>
      <c r="V44" s="58"/>
      <c r="W44" s="67"/>
      <c r="X44" s="53" t="str">
        <f t="shared" si="6"/>
        <v/>
      </c>
      <c r="Y44" s="61"/>
      <c r="Z44" s="55" t="str">
        <f t="shared" si="7"/>
        <v/>
      </c>
      <c r="AA44" s="62" t="str">
        <f t="shared" si="8"/>
        <v/>
      </c>
      <c r="AB44" s="63" t="str">
        <f t="shared" si="9"/>
        <v/>
      </c>
    </row>
    <row r="45" ht="15">
      <c r="A45" s="64">
        <v>30</v>
      </c>
      <c r="B45" s="48"/>
      <c r="C45" s="49"/>
      <c r="D45" s="50"/>
      <c r="E45" s="51"/>
      <c r="F45" s="51"/>
      <c r="G45" s="65"/>
      <c r="H45" s="53" t="str">
        <f t="shared" si="0"/>
        <v/>
      </c>
      <c r="I45" s="54"/>
      <c r="J45" s="55" t="str">
        <f t="shared" si="1"/>
        <v/>
      </c>
      <c r="K45" s="56" t="str">
        <f t="shared" si="2"/>
        <v/>
      </c>
      <c r="L45" s="57"/>
      <c r="M45" s="58"/>
      <c r="N45" s="59"/>
      <c r="O45" s="66"/>
      <c r="P45" s="53" t="str">
        <f t="shared" si="3"/>
        <v/>
      </c>
      <c r="Q45" s="54"/>
      <c r="R45" s="55" t="str">
        <f t="shared" si="4"/>
        <v/>
      </c>
      <c r="S45" s="56" t="str">
        <f t="shared" si="5"/>
        <v/>
      </c>
      <c r="T45" s="57"/>
      <c r="U45" s="57"/>
      <c r="V45" s="58"/>
      <c r="W45" s="67"/>
      <c r="X45" s="53" t="str">
        <f t="shared" si="6"/>
        <v/>
      </c>
      <c r="Y45" s="61"/>
      <c r="Z45" s="55" t="str">
        <f t="shared" si="7"/>
        <v/>
      </c>
      <c r="AA45" s="62" t="str">
        <f t="shared" si="8"/>
        <v/>
      </c>
      <c r="AB45" s="63" t="str">
        <f t="shared" si="9"/>
        <v/>
      </c>
    </row>
    <row r="46" ht="15">
      <c r="A46" s="47">
        <v>31</v>
      </c>
      <c r="B46" s="48"/>
      <c r="C46" s="49"/>
      <c r="D46" s="50"/>
      <c r="E46" s="51"/>
      <c r="F46" s="51"/>
      <c r="G46" s="65"/>
      <c r="H46" s="53" t="str">
        <f t="shared" si="0"/>
        <v/>
      </c>
      <c r="I46" s="54"/>
      <c r="J46" s="55" t="str">
        <f t="shared" si="1"/>
        <v/>
      </c>
      <c r="K46" s="56" t="str">
        <f t="shared" si="2"/>
        <v/>
      </c>
      <c r="L46" s="57"/>
      <c r="M46" s="58"/>
      <c r="N46" s="59"/>
      <c r="O46" s="66"/>
      <c r="P46" s="53" t="str">
        <f t="shared" si="3"/>
        <v/>
      </c>
      <c r="Q46" s="54"/>
      <c r="R46" s="55" t="str">
        <f t="shared" si="4"/>
        <v/>
      </c>
      <c r="S46" s="56" t="str">
        <f t="shared" si="5"/>
        <v/>
      </c>
      <c r="T46" s="57"/>
      <c r="U46" s="57"/>
      <c r="V46" s="58"/>
      <c r="W46" s="67"/>
      <c r="X46" s="53" t="str">
        <f t="shared" si="6"/>
        <v/>
      </c>
      <c r="Y46" s="61"/>
      <c r="Z46" s="55" t="str">
        <f t="shared" si="7"/>
        <v/>
      </c>
      <c r="AA46" s="62" t="str">
        <f t="shared" si="8"/>
        <v/>
      </c>
      <c r="AB46" s="63" t="str">
        <f t="shared" si="9"/>
        <v/>
      </c>
    </row>
    <row r="47" ht="15">
      <c r="A47" s="64">
        <v>32</v>
      </c>
      <c r="B47" s="48"/>
      <c r="C47" s="49"/>
      <c r="D47" s="50"/>
      <c r="E47" s="51"/>
      <c r="F47" s="51"/>
      <c r="G47" s="65"/>
      <c r="H47" s="53" t="str">
        <f t="shared" si="0"/>
        <v/>
      </c>
      <c r="I47" s="54"/>
      <c r="J47" s="55" t="str">
        <f t="shared" si="1"/>
        <v/>
      </c>
      <c r="K47" s="56" t="str">
        <f t="shared" si="2"/>
        <v/>
      </c>
      <c r="L47" s="57"/>
      <c r="M47" s="58"/>
      <c r="N47" s="59"/>
      <c r="O47" s="66"/>
      <c r="P47" s="53" t="str">
        <f t="shared" si="3"/>
        <v/>
      </c>
      <c r="Q47" s="54"/>
      <c r="R47" s="55" t="str">
        <f t="shared" si="4"/>
        <v/>
      </c>
      <c r="S47" s="56" t="str">
        <f t="shared" si="5"/>
        <v/>
      </c>
      <c r="T47" s="57"/>
      <c r="U47" s="57"/>
      <c r="V47" s="58"/>
      <c r="W47" s="67"/>
      <c r="X47" s="53" t="str">
        <f t="shared" si="6"/>
        <v/>
      </c>
      <c r="Y47" s="61"/>
      <c r="Z47" s="55" t="str">
        <f t="shared" si="7"/>
        <v/>
      </c>
      <c r="AA47" s="62" t="str">
        <f t="shared" si="8"/>
        <v/>
      </c>
      <c r="AB47" s="63" t="str">
        <f t="shared" si="9"/>
        <v/>
      </c>
    </row>
    <row r="48" ht="15">
      <c r="A48" s="64">
        <v>33</v>
      </c>
      <c r="B48" s="48"/>
      <c r="C48" s="49"/>
      <c r="D48" s="50"/>
      <c r="E48" s="51"/>
      <c r="F48" s="51"/>
      <c r="G48" s="65"/>
      <c r="H48" s="53" t="str">
        <f t="shared" si="0"/>
        <v/>
      </c>
      <c r="I48" s="54"/>
      <c r="J48" s="55" t="str">
        <f t="shared" si="1"/>
        <v/>
      </c>
      <c r="K48" s="56" t="str">
        <f t="shared" si="2"/>
        <v/>
      </c>
      <c r="L48" s="57"/>
      <c r="M48" s="58"/>
      <c r="N48" s="59"/>
      <c r="O48" s="66"/>
      <c r="P48" s="53" t="str">
        <f t="shared" si="3"/>
        <v/>
      </c>
      <c r="Q48" s="54"/>
      <c r="R48" s="55" t="str">
        <f t="shared" si="4"/>
        <v/>
      </c>
      <c r="S48" s="56" t="str">
        <f t="shared" si="5"/>
        <v/>
      </c>
      <c r="T48" s="57"/>
      <c r="U48" s="57"/>
      <c r="V48" s="58"/>
      <c r="W48" s="67"/>
      <c r="X48" s="53" t="str">
        <f t="shared" si="6"/>
        <v/>
      </c>
      <c r="Y48" s="61"/>
      <c r="Z48" s="55" t="str">
        <f t="shared" si="7"/>
        <v/>
      </c>
      <c r="AA48" s="62" t="str">
        <f t="shared" si="8"/>
        <v/>
      </c>
      <c r="AB48" s="63" t="str">
        <f t="shared" si="9"/>
        <v/>
      </c>
    </row>
    <row r="49" ht="15">
      <c r="A49" s="64">
        <v>34</v>
      </c>
      <c r="B49" s="48"/>
      <c r="C49" s="49"/>
      <c r="D49" s="50"/>
      <c r="E49" s="51"/>
      <c r="F49" s="51"/>
      <c r="G49" s="65"/>
      <c r="H49" s="53" t="str">
        <f t="shared" si="0"/>
        <v/>
      </c>
      <c r="I49" s="54"/>
      <c r="J49" s="55" t="str">
        <f t="shared" si="1"/>
        <v/>
      </c>
      <c r="K49" s="56" t="str">
        <f t="shared" si="2"/>
        <v/>
      </c>
      <c r="L49" s="57"/>
      <c r="M49" s="58"/>
      <c r="N49" s="59"/>
      <c r="O49" s="66"/>
      <c r="P49" s="53" t="str">
        <f t="shared" si="3"/>
        <v/>
      </c>
      <c r="Q49" s="54"/>
      <c r="R49" s="55" t="str">
        <f t="shared" si="4"/>
        <v/>
      </c>
      <c r="S49" s="56" t="str">
        <f t="shared" si="5"/>
        <v/>
      </c>
      <c r="T49" s="57"/>
      <c r="U49" s="57"/>
      <c r="V49" s="58"/>
      <c r="W49" s="67"/>
      <c r="X49" s="53" t="str">
        <f t="shared" si="6"/>
        <v/>
      </c>
      <c r="Y49" s="61"/>
      <c r="Z49" s="55" t="str">
        <f t="shared" si="7"/>
        <v/>
      </c>
      <c r="AA49" s="62" t="str">
        <f t="shared" si="8"/>
        <v/>
      </c>
      <c r="AB49" s="63" t="str">
        <f t="shared" si="9"/>
        <v/>
      </c>
    </row>
    <row r="50" ht="15">
      <c r="A50" s="64">
        <v>35</v>
      </c>
      <c r="B50" s="48"/>
      <c r="C50" s="49"/>
      <c r="D50" s="50"/>
      <c r="E50" s="51"/>
      <c r="F50" s="51"/>
      <c r="G50" s="65"/>
      <c r="H50" s="53" t="str">
        <f t="shared" si="0"/>
        <v/>
      </c>
      <c r="I50" s="54"/>
      <c r="J50" s="55" t="str">
        <f t="shared" si="1"/>
        <v/>
      </c>
      <c r="K50" s="56" t="str">
        <f t="shared" si="2"/>
        <v/>
      </c>
      <c r="L50" s="57"/>
      <c r="M50" s="58"/>
      <c r="N50" s="59"/>
      <c r="O50" s="66"/>
      <c r="P50" s="53" t="str">
        <f t="shared" si="3"/>
        <v/>
      </c>
      <c r="Q50" s="54"/>
      <c r="R50" s="55" t="str">
        <f t="shared" si="4"/>
        <v/>
      </c>
      <c r="S50" s="56" t="str">
        <f t="shared" si="5"/>
        <v/>
      </c>
      <c r="T50" s="57"/>
      <c r="U50" s="57"/>
      <c r="V50" s="58"/>
      <c r="W50" s="67"/>
      <c r="X50" s="53" t="str">
        <f t="shared" si="6"/>
        <v/>
      </c>
      <c r="Y50" s="61"/>
      <c r="Z50" s="55" t="str">
        <f t="shared" si="7"/>
        <v/>
      </c>
      <c r="AA50" s="62" t="str">
        <f t="shared" si="8"/>
        <v/>
      </c>
      <c r="AB50" s="63" t="str">
        <f t="shared" si="9"/>
        <v/>
      </c>
    </row>
    <row r="51" ht="15">
      <c r="A51" s="64">
        <v>36</v>
      </c>
      <c r="B51" s="48"/>
      <c r="C51" s="49"/>
      <c r="D51" s="50"/>
      <c r="E51" s="51"/>
      <c r="F51" s="51"/>
      <c r="G51" s="65"/>
      <c r="H51" s="53" t="str">
        <f t="shared" si="0"/>
        <v/>
      </c>
      <c r="I51" s="54"/>
      <c r="J51" s="55" t="str">
        <f t="shared" si="1"/>
        <v/>
      </c>
      <c r="K51" s="56" t="str">
        <f t="shared" si="2"/>
        <v/>
      </c>
      <c r="L51" s="57"/>
      <c r="M51" s="58"/>
      <c r="N51" s="59"/>
      <c r="O51" s="66"/>
      <c r="P51" s="53" t="str">
        <f t="shared" si="3"/>
        <v/>
      </c>
      <c r="Q51" s="54"/>
      <c r="R51" s="55" t="str">
        <f t="shared" si="4"/>
        <v/>
      </c>
      <c r="S51" s="56" t="str">
        <f t="shared" si="5"/>
        <v/>
      </c>
      <c r="T51" s="57"/>
      <c r="U51" s="57"/>
      <c r="V51" s="58"/>
      <c r="W51" s="67"/>
      <c r="X51" s="53" t="str">
        <f t="shared" si="6"/>
        <v/>
      </c>
      <c r="Y51" s="61"/>
      <c r="Z51" s="55" t="str">
        <f t="shared" si="7"/>
        <v/>
      </c>
      <c r="AA51" s="62" t="str">
        <f t="shared" si="8"/>
        <v/>
      </c>
      <c r="AB51" s="63" t="str">
        <f t="shared" si="9"/>
        <v/>
      </c>
    </row>
    <row r="52" ht="15">
      <c r="A52" s="47">
        <v>37</v>
      </c>
      <c r="B52" s="48"/>
      <c r="C52" s="49"/>
      <c r="D52" s="50"/>
      <c r="E52" s="51"/>
      <c r="F52" s="51"/>
      <c r="G52" s="65"/>
      <c r="H52" s="53" t="str">
        <f t="shared" si="0"/>
        <v/>
      </c>
      <c r="I52" s="54"/>
      <c r="J52" s="55" t="str">
        <f t="shared" si="1"/>
        <v/>
      </c>
      <c r="K52" s="56" t="str">
        <f t="shared" si="2"/>
        <v/>
      </c>
      <c r="L52" s="57"/>
      <c r="M52" s="58"/>
      <c r="N52" s="59"/>
      <c r="O52" s="66"/>
      <c r="P52" s="53" t="str">
        <f t="shared" si="3"/>
        <v/>
      </c>
      <c r="Q52" s="54"/>
      <c r="R52" s="55" t="str">
        <f t="shared" si="4"/>
        <v/>
      </c>
      <c r="S52" s="56" t="str">
        <f t="shared" si="5"/>
        <v/>
      </c>
      <c r="T52" s="57"/>
      <c r="U52" s="57"/>
      <c r="V52" s="58"/>
      <c r="W52" s="67"/>
      <c r="X52" s="53" t="str">
        <f t="shared" si="6"/>
        <v/>
      </c>
      <c r="Y52" s="61"/>
      <c r="Z52" s="55" t="str">
        <f t="shared" si="7"/>
        <v/>
      </c>
      <c r="AA52" s="62" t="str">
        <f t="shared" si="8"/>
        <v/>
      </c>
      <c r="AB52" s="63" t="str">
        <f t="shared" si="9"/>
        <v/>
      </c>
    </row>
    <row r="53" ht="15">
      <c r="A53" s="64">
        <v>38</v>
      </c>
      <c r="B53" s="48"/>
      <c r="C53" s="49"/>
      <c r="D53" s="50"/>
      <c r="E53" s="51"/>
      <c r="F53" s="51"/>
      <c r="G53" s="65"/>
      <c r="H53" s="53" t="str">
        <f t="shared" si="0"/>
        <v/>
      </c>
      <c r="I53" s="54"/>
      <c r="J53" s="55" t="str">
        <f t="shared" si="1"/>
        <v/>
      </c>
      <c r="K53" s="56" t="str">
        <f t="shared" si="2"/>
        <v/>
      </c>
      <c r="L53" s="57"/>
      <c r="M53" s="58"/>
      <c r="N53" s="59"/>
      <c r="O53" s="66"/>
      <c r="P53" s="53" t="str">
        <f t="shared" si="3"/>
        <v/>
      </c>
      <c r="Q53" s="54"/>
      <c r="R53" s="55" t="str">
        <f t="shared" si="4"/>
        <v/>
      </c>
      <c r="S53" s="56" t="str">
        <f t="shared" si="5"/>
        <v/>
      </c>
      <c r="T53" s="57"/>
      <c r="U53" s="57"/>
      <c r="V53" s="58"/>
      <c r="W53" s="67"/>
      <c r="X53" s="53" t="str">
        <f t="shared" si="6"/>
        <v/>
      </c>
      <c r="Y53" s="61"/>
      <c r="Z53" s="55" t="str">
        <f t="shared" si="7"/>
        <v/>
      </c>
      <c r="AA53" s="62" t="str">
        <f t="shared" si="8"/>
        <v/>
      </c>
      <c r="AB53" s="63" t="str">
        <f t="shared" si="9"/>
        <v/>
      </c>
    </row>
    <row r="54" ht="15">
      <c r="A54" s="64">
        <v>39</v>
      </c>
      <c r="B54" s="48"/>
      <c r="C54" s="49"/>
      <c r="D54" s="50"/>
      <c r="E54" s="51"/>
      <c r="F54" s="51"/>
      <c r="G54" s="65"/>
      <c r="H54" s="53" t="str">
        <f t="shared" si="0"/>
        <v/>
      </c>
      <c r="I54" s="54"/>
      <c r="J54" s="55" t="str">
        <f t="shared" si="1"/>
        <v/>
      </c>
      <c r="K54" s="56" t="str">
        <f t="shared" si="2"/>
        <v/>
      </c>
      <c r="L54" s="57"/>
      <c r="M54" s="58"/>
      <c r="N54" s="59"/>
      <c r="O54" s="66"/>
      <c r="P54" s="53" t="str">
        <f t="shared" si="3"/>
        <v/>
      </c>
      <c r="Q54" s="54"/>
      <c r="R54" s="55" t="str">
        <f t="shared" si="4"/>
        <v/>
      </c>
      <c r="S54" s="56" t="str">
        <f t="shared" si="5"/>
        <v/>
      </c>
      <c r="T54" s="57"/>
      <c r="U54" s="57"/>
      <c r="V54" s="58"/>
      <c r="W54" s="67"/>
      <c r="X54" s="53" t="str">
        <f t="shared" si="6"/>
        <v/>
      </c>
      <c r="Y54" s="61"/>
      <c r="Z54" s="55" t="str">
        <f t="shared" si="7"/>
        <v/>
      </c>
      <c r="AA54" s="62" t="str">
        <f t="shared" si="8"/>
        <v/>
      </c>
      <c r="AB54" s="63" t="str">
        <f t="shared" si="9"/>
        <v/>
      </c>
    </row>
    <row r="55" ht="15">
      <c r="A55" s="64">
        <v>40</v>
      </c>
      <c r="B55" s="48"/>
      <c r="C55" s="49"/>
      <c r="D55" s="50"/>
      <c r="E55" s="51"/>
      <c r="F55" s="51"/>
      <c r="G55" s="68"/>
      <c r="H55" s="53" t="str">
        <f t="shared" si="0"/>
        <v/>
      </c>
      <c r="I55" s="54"/>
      <c r="J55" s="55" t="str">
        <f t="shared" si="1"/>
        <v/>
      </c>
      <c r="K55" s="56" t="str">
        <f t="shared" si="2"/>
        <v/>
      </c>
      <c r="L55" s="57"/>
      <c r="M55" s="58"/>
      <c r="N55" s="59"/>
      <c r="O55" s="69"/>
      <c r="P55" s="53" t="str">
        <f t="shared" si="3"/>
        <v/>
      </c>
      <c r="Q55" s="54"/>
      <c r="R55" s="55" t="str">
        <f t="shared" si="4"/>
        <v/>
      </c>
      <c r="S55" s="56" t="str">
        <f t="shared" si="5"/>
        <v/>
      </c>
      <c r="T55" s="57"/>
      <c r="U55" s="57"/>
      <c r="V55" s="58"/>
      <c r="W55" s="70"/>
      <c r="X55" s="53" t="str">
        <f t="shared" si="6"/>
        <v/>
      </c>
      <c r="Y55" s="61"/>
      <c r="Z55" s="55" t="str">
        <f t="shared" si="7"/>
        <v/>
      </c>
      <c r="AA55" s="62" t="str">
        <f t="shared" si="8"/>
        <v/>
      </c>
      <c r="AB55" s="63" t="str">
        <f t="shared" si="9"/>
        <v/>
      </c>
    </row>
    <row r="56" ht="15">
      <c r="A56" s="47">
        <v>41</v>
      </c>
      <c r="B56" s="48"/>
      <c r="C56" s="49"/>
      <c r="D56" s="50"/>
      <c r="E56" s="51"/>
      <c r="F56" s="51"/>
      <c r="G56" s="71"/>
      <c r="H56" s="53" t="str">
        <f t="shared" si="0"/>
        <v/>
      </c>
      <c r="I56" s="54"/>
      <c r="J56" s="55" t="str">
        <f t="shared" si="1"/>
        <v/>
      </c>
      <c r="K56" s="56" t="str">
        <f t="shared" si="2"/>
        <v/>
      </c>
      <c r="L56" s="57"/>
      <c r="M56" s="58"/>
      <c r="N56" s="59"/>
      <c r="O56" s="72"/>
      <c r="P56" s="53" t="str">
        <f t="shared" si="3"/>
        <v/>
      </c>
      <c r="Q56" s="54"/>
      <c r="R56" s="55" t="str">
        <f t="shared" si="4"/>
        <v/>
      </c>
      <c r="S56" s="56" t="str">
        <f t="shared" si="5"/>
        <v/>
      </c>
      <c r="T56" s="57"/>
      <c r="U56" s="57"/>
      <c r="V56" s="58"/>
      <c r="W56" s="73"/>
      <c r="X56" s="53" t="str">
        <f t="shared" si="6"/>
        <v/>
      </c>
      <c r="Y56" s="61"/>
      <c r="Z56" s="55" t="str">
        <f t="shared" si="7"/>
        <v/>
      </c>
      <c r="AA56" s="62" t="str">
        <f t="shared" si="8"/>
        <v/>
      </c>
      <c r="AB56" s="63" t="str">
        <f t="shared" si="9"/>
        <v/>
      </c>
    </row>
    <row r="57" ht="15">
      <c r="A57" s="64">
        <v>42</v>
      </c>
      <c r="B57" s="48"/>
      <c r="C57" s="49"/>
      <c r="D57" s="50"/>
      <c r="E57" s="51"/>
      <c r="F57" s="51"/>
      <c r="G57" s="71"/>
      <c r="H57" s="53" t="str">
        <f t="shared" si="0"/>
        <v/>
      </c>
      <c r="I57" s="54"/>
      <c r="J57" s="55" t="str">
        <f t="shared" si="1"/>
        <v/>
      </c>
      <c r="K57" s="56" t="str">
        <f t="shared" si="2"/>
        <v/>
      </c>
      <c r="L57" s="57"/>
      <c r="M57" s="58"/>
      <c r="N57" s="59"/>
      <c r="O57" s="72"/>
      <c r="P57" s="53" t="str">
        <f t="shared" si="3"/>
        <v/>
      </c>
      <c r="Q57" s="54"/>
      <c r="R57" s="55" t="str">
        <f t="shared" si="4"/>
        <v/>
      </c>
      <c r="S57" s="56" t="str">
        <f t="shared" si="5"/>
        <v/>
      </c>
      <c r="T57" s="57"/>
      <c r="U57" s="57"/>
      <c r="V57" s="58"/>
      <c r="W57" s="73"/>
      <c r="X57" s="53" t="str">
        <f t="shared" si="6"/>
        <v/>
      </c>
      <c r="Y57" s="61"/>
      <c r="Z57" s="55" t="str">
        <f t="shared" si="7"/>
        <v/>
      </c>
      <c r="AA57" s="62" t="str">
        <f t="shared" si="8"/>
        <v/>
      </c>
      <c r="AB57" s="63" t="str">
        <f t="shared" si="9"/>
        <v/>
      </c>
    </row>
    <row r="58" ht="15">
      <c r="A58" s="64">
        <v>43</v>
      </c>
      <c r="B58" s="48"/>
      <c r="C58" s="49"/>
      <c r="D58" s="50"/>
      <c r="E58" s="51"/>
      <c r="F58" s="51"/>
      <c r="G58" s="65"/>
      <c r="H58" s="53" t="str">
        <f t="shared" si="0"/>
        <v/>
      </c>
      <c r="I58" s="54"/>
      <c r="J58" s="55" t="str">
        <f t="shared" si="1"/>
        <v/>
      </c>
      <c r="K58" s="56" t="str">
        <f t="shared" si="2"/>
        <v/>
      </c>
      <c r="L58" s="57"/>
      <c r="M58" s="58"/>
      <c r="N58" s="59"/>
      <c r="O58" s="66"/>
      <c r="P58" s="53" t="str">
        <f t="shared" si="3"/>
        <v/>
      </c>
      <c r="Q58" s="54"/>
      <c r="R58" s="55" t="str">
        <f t="shared" si="4"/>
        <v/>
      </c>
      <c r="S58" s="56" t="str">
        <f t="shared" si="5"/>
        <v/>
      </c>
      <c r="T58" s="57"/>
      <c r="U58" s="57"/>
      <c r="V58" s="58"/>
      <c r="W58" s="67"/>
      <c r="X58" s="53" t="str">
        <f t="shared" si="6"/>
        <v/>
      </c>
      <c r="Y58" s="61"/>
      <c r="Z58" s="55" t="str">
        <f t="shared" si="7"/>
        <v/>
      </c>
      <c r="AA58" s="62" t="str">
        <f t="shared" si="8"/>
        <v/>
      </c>
      <c r="AB58" s="63" t="str">
        <f t="shared" si="9"/>
        <v/>
      </c>
    </row>
    <row r="59" ht="15">
      <c r="A59" s="64">
        <v>44</v>
      </c>
      <c r="B59" s="48"/>
      <c r="C59" s="49"/>
      <c r="D59" s="50"/>
      <c r="E59" s="51"/>
      <c r="F59" s="51"/>
      <c r="G59" s="65"/>
      <c r="H59" s="53" t="str">
        <f t="shared" si="0"/>
        <v/>
      </c>
      <c r="I59" s="54"/>
      <c r="J59" s="55" t="str">
        <f t="shared" si="1"/>
        <v/>
      </c>
      <c r="K59" s="56" t="str">
        <f t="shared" si="2"/>
        <v/>
      </c>
      <c r="L59" s="57"/>
      <c r="M59" s="58"/>
      <c r="N59" s="59"/>
      <c r="O59" s="66"/>
      <c r="P59" s="53" t="str">
        <f t="shared" si="3"/>
        <v/>
      </c>
      <c r="Q59" s="54"/>
      <c r="R59" s="55" t="str">
        <f t="shared" si="4"/>
        <v/>
      </c>
      <c r="S59" s="56" t="str">
        <f t="shared" si="5"/>
        <v/>
      </c>
      <c r="T59" s="57"/>
      <c r="U59" s="57"/>
      <c r="V59" s="58"/>
      <c r="W59" s="67"/>
      <c r="X59" s="53" t="str">
        <f t="shared" si="6"/>
        <v/>
      </c>
      <c r="Y59" s="61"/>
      <c r="Z59" s="55" t="str">
        <f t="shared" si="7"/>
        <v/>
      </c>
      <c r="AA59" s="62" t="str">
        <f t="shared" si="8"/>
        <v/>
      </c>
      <c r="AB59" s="63" t="str">
        <f t="shared" si="9"/>
        <v/>
      </c>
    </row>
    <row r="60" ht="15">
      <c r="A60" s="64">
        <v>45</v>
      </c>
      <c r="B60" s="48"/>
      <c r="C60" s="49"/>
      <c r="D60" s="50"/>
      <c r="E60" s="51"/>
      <c r="F60" s="51"/>
      <c r="G60" s="65"/>
      <c r="H60" s="53" t="str">
        <f t="shared" si="0"/>
        <v/>
      </c>
      <c r="I60" s="54"/>
      <c r="J60" s="55" t="str">
        <f t="shared" si="1"/>
        <v/>
      </c>
      <c r="K60" s="56" t="str">
        <f t="shared" si="2"/>
        <v/>
      </c>
      <c r="L60" s="57"/>
      <c r="M60" s="58"/>
      <c r="N60" s="59"/>
      <c r="O60" s="66"/>
      <c r="P60" s="53" t="str">
        <f t="shared" si="3"/>
        <v/>
      </c>
      <c r="Q60" s="54"/>
      <c r="R60" s="55" t="str">
        <f t="shared" si="4"/>
        <v/>
      </c>
      <c r="S60" s="56" t="str">
        <f t="shared" si="5"/>
        <v/>
      </c>
      <c r="T60" s="57"/>
      <c r="U60" s="57"/>
      <c r="V60" s="58"/>
      <c r="W60" s="67"/>
      <c r="X60" s="53" t="str">
        <f t="shared" si="6"/>
        <v/>
      </c>
      <c r="Y60" s="61"/>
      <c r="Z60" s="55" t="str">
        <f t="shared" si="7"/>
        <v/>
      </c>
      <c r="AA60" s="62" t="str">
        <f t="shared" si="8"/>
        <v/>
      </c>
      <c r="AB60" s="63" t="str">
        <f t="shared" si="9"/>
        <v/>
      </c>
    </row>
    <row r="61" ht="15">
      <c r="A61" s="64">
        <v>46</v>
      </c>
      <c r="B61" s="48"/>
      <c r="C61" s="49"/>
      <c r="D61" s="50"/>
      <c r="E61" s="51"/>
      <c r="F61" s="51"/>
      <c r="G61" s="65"/>
      <c r="H61" s="53" t="str">
        <f t="shared" si="0"/>
        <v/>
      </c>
      <c r="I61" s="54"/>
      <c r="J61" s="55" t="str">
        <f t="shared" si="1"/>
        <v/>
      </c>
      <c r="K61" s="56" t="str">
        <f t="shared" si="2"/>
        <v/>
      </c>
      <c r="L61" s="57"/>
      <c r="M61" s="58"/>
      <c r="N61" s="59"/>
      <c r="O61" s="66"/>
      <c r="P61" s="53" t="str">
        <f t="shared" si="3"/>
        <v/>
      </c>
      <c r="Q61" s="54"/>
      <c r="R61" s="55" t="str">
        <f t="shared" si="4"/>
        <v/>
      </c>
      <c r="S61" s="56" t="str">
        <f t="shared" si="5"/>
        <v/>
      </c>
      <c r="T61" s="57"/>
      <c r="U61" s="57"/>
      <c r="V61" s="58"/>
      <c r="W61" s="67"/>
      <c r="X61" s="53" t="str">
        <f t="shared" si="6"/>
        <v/>
      </c>
      <c r="Y61" s="61"/>
      <c r="Z61" s="55" t="str">
        <f t="shared" si="7"/>
        <v/>
      </c>
      <c r="AA61" s="62" t="str">
        <f t="shared" si="8"/>
        <v/>
      </c>
      <c r="AB61" s="63" t="str">
        <f t="shared" si="9"/>
        <v/>
      </c>
    </row>
    <row r="62" ht="15">
      <c r="A62" s="47">
        <v>47</v>
      </c>
      <c r="B62" s="48"/>
      <c r="C62" s="49"/>
      <c r="D62" s="50"/>
      <c r="E62" s="51"/>
      <c r="F62" s="51"/>
      <c r="G62" s="65"/>
      <c r="H62" s="53" t="str">
        <f t="shared" si="0"/>
        <v/>
      </c>
      <c r="I62" s="54"/>
      <c r="J62" s="55" t="str">
        <f t="shared" si="1"/>
        <v/>
      </c>
      <c r="K62" s="56" t="str">
        <f t="shared" si="2"/>
        <v/>
      </c>
      <c r="L62" s="57"/>
      <c r="M62" s="58"/>
      <c r="N62" s="59"/>
      <c r="O62" s="66"/>
      <c r="P62" s="53" t="str">
        <f t="shared" si="3"/>
        <v/>
      </c>
      <c r="Q62" s="54"/>
      <c r="R62" s="55" t="str">
        <f t="shared" si="4"/>
        <v/>
      </c>
      <c r="S62" s="56" t="str">
        <f t="shared" si="5"/>
        <v/>
      </c>
      <c r="T62" s="57"/>
      <c r="U62" s="57"/>
      <c r="V62" s="58"/>
      <c r="W62" s="67"/>
      <c r="X62" s="53" t="str">
        <f t="shared" si="6"/>
        <v/>
      </c>
      <c r="Y62" s="61"/>
      <c r="Z62" s="55" t="str">
        <f t="shared" si="7"/>
        <v/>
      </c>
      <c r="AA62" s="62" t="str">
        <f t="shared" si="8"/>
        <v/>
      </c>
      <c r="AB62" s="63" t="str">
        <f t="shared" si="9"/>
        <v/>
      </c>
    </row>
    <row r="63" ht="15">
      <c r="A63" s="64">
        <v>48</v>
      </c>
      <c r="B63" s="48"/>
      <c r="C63" s="49"/>
      <c r="D63" s="50"/>
      <c r="E63" s="51"/>
      <c r="F63" s="51"/>
      <c r="G63" s="65"/>
      <c r="H63" s="53" t="str">
        <f t="shared" si="0"/>
        <v/>
      </c>
      <c r="I63" s="54"/>
      <c r="J63" s="55" t="str">
        <f t="shared" si="1"/>
        <v/>
      </c>
      <c r="K63" s="56" t="str">
        <f t="shared" si="2"/>
        <v/>
      </c>
      <c r="L63" s="57"/>
      <c r="M63" s="58"/>
      <c r="N63" s="59"/>
      <c r="O63" s="66"/>
      <c r="P63" s="53" t="str">
        <f t="shared" si="3"/>
        <v/>
      </c>
      <c r="Q63" s="54"/>
      <c r="R63" s="55" t="str">
        <f t="shared" si="4"/>
        <v/>
      </c>
      <c r="S63" s="56" t="str">
        <f t="shared" si="5"/>
        <v/>
      </c>
      <c r="T63" s="57"/>
      <c r="U63" s="57"/>
      <c r="V63" s="58"/>
      <c r="W63" s="67"/>
      <c r="X63" s="53" t="str">
        <f t="shared" si="6"/>
        <v/>
      </c>
      <c r="Y63" s="61"/>
      <c r="Z63" s="55" t="str">
        <f t="shared" si="7"/>
        <v/>
      </c>
      <c r="AA63" s="62" t="str">
        <f t="shared" si="8"/>
        <v/>
      </c>
      <c r="AB63" s="63" t="str">
        <f t="shared" si="9"/>
        <v/>
      </c>
    </row>
    <row r="64" ht="15">
      <c r="A64" s="64">
        <v>49</v>
      </c>
      <c r="B64" s="48"/>
      <c r="C64" s="49"/>
      <c r="D64" s="50"/>
      <c r="E64" s="51"/>
      <c r="F64" s="51"/>
      <c r="G64" s="65"/>
      <c r="H64" s="53" t="str">
        <f t="shared" si="0"/>
        <v/>
      </c>
      <c r="I64" s="54"/>
      <c r="J64" s="55" t="str">
        <f t="shared" si="1"/>
        <v/>
      </c>
      <c r="K64" s="56" t="str">
        <f t="shared" si="2"/>
        <v/>
      </c>
      <c r="L64" s="57"/>
      <c r="M64" s="58"/>
      <c r="N64" s="59"/>
      <c r="O64" s="66"/>
      <c r="P64" s="53" t="str">
        <f t="shared" si="3"/>
        <v/>
      </c>
      <c r="Q64" s="54"/>
      <c r="R64" s="55" t="str">
        <f t="shared" si="4"/>
        <v/>
      </c>
      <c r="S64" s="56" t="str">
        <f t="shared" si="5"/>
        <v/>
      </c>
      <c r="T64" s="57"/>
      <c r="U64" s="57"/>
      <c r="V64" s="58"/>
      <c r="W64" s="67"/>
      <c r="X64" s="53" t="str">
        <f t="shared" si="6"/>
        <v/>
      </c>
      <c r="Y64" s="61"/>
      <c r="Z64" s="55" t="str">
        <f t="shared" si="7"/>
        <v/>
      </c>
      <c r="AA64" s="62" t="str">
        <f t="shared" si="8"/>
        <v/>
      </c>
      <c r="AB64" s="63" t="str">
        <f t="shared" si="9"/>
        <v/>
      </c>
    </row>
    <row r="65" ht="15">
      <c r="A65" s="64">
        <v>50</v>
      </c>
      <c r="B65" s="48"/>
      <c r="C65" s="49"/>
      <c r="D65" s="50"/>
      <c r="E65" s="51"/>
      <c r="F65" s="51"/>
      <c r="G65" s="65"/>
      <c r="H65" s="53"/>
      <c r="I65" s="54"/>
      <c r="J65" s="55"/>
      <c r="K65" s="56"/>
      <c r="L65" s="57"/>
      <c r="M65" s="58"/>
      <c r="N65" s="59"/>
      <c r="O65" s="66"/>
      <c r="P65" s="53"/>
      <c r="Q65" s="54"/>
      <c r="R65" s="55"/>
      <c r="S65" s="56"/>
      <c r="T65" s="57"/>
      <c r="U65" s="57"/>
      <c r="V65" s="58"/>
      <c r="W65" s="67"/>
      <c r="X65" s="53"/>
      <c r="Y65" s="61"/>
      <c r="Z65" s="55"/>
      <c r="AA65" s="62"/>
      <c r="AB65" s="63"/>
    </row>
    <row r="66" ht="15">
      <c r="A66" s="64">
        <v>51</v>
      </c>
      <c r="B66" s="48"/>
      <c r="C66" s="49"/>
      <c r="D66" s="50"/>
      <c r="E66" s="51"/>
      <c r="F66" s="51"/>
      <c r="G66" s="65"/>
      <c r="H66" s="53"/>
      <c r="I66" s="54"/>
      <c r="J66" s="55"/>
      <c r="K66" s="56"/>
      <c r="L66" s="57"/>
      <c r="M66" s="58"/>
      <c r="N66" s="59"/>
      <c r="O66" s="66"/>
      <c r="P66" s="53"/>
      <c r="Q66" s="54"/>
      <c r="R66" s="55"/>
      <c r="S66" s="56"/>
      <c r="T66" s="57"/>
      <c r="U66" s="57"/>
      <c r="V66" s="58"/>
      <c r="W66" s="67"/>
      <c r="X66" s="53"/>
      <c r="Y66" s="61"/>
      <c r="Z66" s="55"/>
      <c r="AA66" s="62"/>
      <c r="AB66" s="63"/>
    </row>
    <row r="67" ht="15">
      <c r="A67" s="47">
        <v>52</v>
      </c>
      <c r="B67" s="48"/>
      <c r="C67" s="49"/>
      <c r="D67" s="50"/>
      <c r="E67" s="51"/>
      <c r="F67" s="51"/>
      <c r="G67" s="65"/>
      <c r="H67" s="53"/>
      <c r="I67" s="54"/>
      <c r="J67" s="55"/>
      <c r="K67" s="56"/>
      <c r="L67" s="57"/>
      <c r="M67" s="58"/>
      <c r="N67" s="59"/>
      <c r="O67" s="66"/>
      <c r="P67" s="53"/>
      <c r="Q67" s="54"/>
      <c r="R67" s="55"/>
      <c r="S67" s="56"/>
      <c r="T67" s="57"/>
      <c r="U67" s="57"/>
      <c r="V67" s="58"/>
      <c r="W67" s="67"/>
      <c r="X67" s="53"/>
      <c r="Y67" s="61"/>
      <c r="Z67" s="55"/>
      <c r="AA67" s="62"/>
      <c r="AB67" s="63"/>
    </row>
    <row r="68" ht="15">
      <c r="A68" s="64">
        <v>53</v>
      </c>
      <c r="B68" s="48"/>
      <c r="C68" s="49"/>
      <c r="D68" s="50"/>
      <c r="E68" s="51"/>
      <c r="F68" s="51"/>
      <c r="G68" s="65"/>
      <c r="H68" s="53"/>
      <c r="I68" s="54"/>
      <c r="J68" s="55"/>
      <c r="K68" s="56"/>
      <c r="L68" s="57"/>
      <c r="M68" s="58"/>
      <c r="N68" s="59"/>
      <c r="O68" s="66"/>
      <c r="P68" s="53"/>
      <c r="Q68" s="54"/>
      <c r="R68" s="55"/>
      <c r="S68" s="56"/>
      <c r="T68" s="57"/>
      <c r="U68" s="57"/>
      <c r="V68" s="58"/>
      <c r="W68" s="67"/>
      <c r="X68" s="53"/>
      <c r="Y68" s="61"/>
      <c r="Z68" s="55"/>
      <c r="AA68" s="62"/>
      <c r="AB68" s="63"/>
    </row>
    <row r="69" ht="15">
      <c r="A69" s="64">
        <v>54</v>
      </c>
      <c r="B69" s="48"/>
      <c r="C69" s="49"/>
      <c r="D69" s="50"/>
      <c r="E69" s="51"/>
      <c r="F69" s="51"/>
      <c r="G69" s="65"/>
      <c r="H69" s="53"/>
      <c r="I69" s="54"/>
      <c r="J69" s="55"/>
      <c r="K69" s="56"/>
      <c r="L69" s="57"/>
      <c r="M69" s="58"/>
      <c r="N69" s="59"/>
      <c r="O69" s="66"/>
      <c r="P69" s="53"/>
      <c r="Q69" s="54"/>
      <c r="R69" s="55"/>
      <c r="S69" s="56"/>
      <c r="T69" s="57"/>
      <c r="U69" s="57"/>
      <c r="V69" s="58"/>
      <c r="W69" s="67"/>
      <c r="X69" s="53"/>
      <c r="Y69" s="61"/>
      <c r="Z69" s="55"/>
      <c r="AA69" s="62"/>
      <c r="AB69" s="63"/>
    </row>
    <row r="70" ht="15">
      <c r="A70" s="64">
        <v>55</v>
      </c>
      <c r="B70" s="48"/>
      <c r="C70" s="49"/>
      <c r="D70" s="50"/>
      <c r="E70" s="51"/>
      <c r="F70" s="51"/>
      <c r="G70" s="65"/>
      <c r="H70" s="53"/>
      <c r="I70" s="54"/>
      <c r="J70" s="55"/>
      <c r="K70" s="56"/>
      <c r="L70" s="57"/>
      <c r="M70" s="58"/>
      <c r="N70" s="59"/>
      <c r="O70" s="66"/>
      <c r="P70" s="53"/>
      <c r="Q70" s="54"/>
      <c r="R70" s="55"/>
      <c r="S70" s="56"/>
      <c r="T70" s="57"/>
      <c r="U70" s="57"/>
      <c r="V70" s="58"/>
      <c r="W70" s="67"/>
      <c r="X70" s="53"/>
      <c r="Y70" s="61"/>
      <c r="Z70" s="55"/>
      <c r="AA70" s="62"/>
      <c r="AB70" s="63"/>
    </row>
    <row r="71" ht="15">
      <c r="A71" s="64">
        <v>56</v>
      </c>
      <c r="B71" s="48"/>
      <c r="C71" s="49"/>
      <c r="D71" s="50"/>
      <c r="E71" s="51"/>
      <c r="F71" s="51"/>
      <c r="G71" s="65"/>
      <c r="H71" s="53"/>
      <c r="I71" s="54"/>
      <c r="J71" s="55"/>
      <c r="K71" s="56"/>
      <c r="L71" s="57"/>
      <c r="M71" s="58"/>
      <c r="N71" s="59"/>
      <c r="O71" s="66"/>
      <c r="P71" s="53"/>
      <c r="Q71" s="54"/>
      <c r="R71" s="55"/>
      <c r="S71" s="56"/>
      <c r="T71" s="57"/>
      <c r="U71" s="57"/>
      <c r="V71" s="58"/>
      <c r="W71" s="67"/>
      <c r="X71" s="53"/>
      <c r="Y71" s="61"/>
      <c r="Z71" s="55"/>
      <c r="AA71" s="62"/>
      <c r="AB71" s="63"/>
    </row>
    <row r="72" ht="15">
      <c r="A72" s="47">
        <v>57</v>
      </c>
      <c r="B72" s="48"/>
      <c r="C72" s="49"/>
      <c r="D72" s="50"/>
      <c r="E72" s="51"/>
      <c r="F72" s="51"/>
      <c r="G72" s="65"/>
      <c r="H72" s="53"/>
      <c r="I72" s="54"/>
      <c r="J72" s="55"/>
      <c r="K72" s="56"/>
      <c r="L72" s="57"/>
      <c r="M72" s="58"/>
      <c r="N72" s="59"/>
      <c r="O72" s="66"/>
      <c r="P72" s="53"/>
      <c r="Q72" s="54"/>
      <c r="R72" s="55"/>
      <c r="S72" s="56"/>
      <c r="T72" s="57"/>
      <c r="U72" s="57"/>
      <c r="V72" s="58"/>
      <c r="W72" s="67"/>
      <c r="X72" s="53"/>
      <c r="Y72" s="61"/>
      <c r="Z72" s="55"/>
      <c r="AA72" s="62"/>
      <c r="AB72" s="63"/>
    </row>
    <row r="73" ht="16.5">
      <c r="A73" s="64">
        <v>58</v>
      </c>
      <c r="B73" s="48"/>
      <c r="C73" s="49"/>
      <c r="D73" s="50"/>
      <c r="E73" s="51"/>
      <c r="F73" s="51"/>
      <c r="G73" s="65"/>
      <c r="H73" s="53"/>
      <c r="I73" s="54"/>
      <c r="J73" s="55"/>
      <c r="K73" s="56"/>
      <c r="L73" s="57"/>
      <c r="M73" s="58"/>
      <c r="N73" s="59"/>
      <c r="O73" s="66"/>
      <c r="P73" s="53"/>
      <c r="Q73" s="54"/>
      <c r="R73" s="55"/>
      <c r="S73" s="56"/>
      <c r="T73" s="57"/>
      <c r="U73" s="57"/>
      <c r="V73" s="58"/>
      <c r="W73" s="67"/>
      <c r="X73" s="53"/>
      <c r="Y73" s="61"/>
      <c r="Z73" s="55"/>
      <c r="AA73" s="62"/>
      <c r="AB73" s="63"/>
    </row>
    <row r="74" ht="16.5">
      <c r="A74" s="64">
        <v>59</v>
      </c>
      <c r="B74" s="48"/>
      <c r="C74" s="49"/>
      <c r="D74" s="50"/>
      <c r="E74" s="51"/>
      <c r="F74" s="51"/>
      <c r="G74" s="65"/>
      <c r="H74" s="53"/>
      <c r="I74" s="54"/>
      <c r="J74" s="55"/>
      <c r="K74" s="56"/>
      <c r="L74" s="57"/>
      <c r="M74" s="58"/>
      <c r="N74" s="59"/>
      <c r="O74" s="66"/>
      <c r="P74" s="53"/>
      <c r="Q74" s="54"/>
      <c r="R74" s="55"/>
      <c r="S74" s="56"/>
      <c r="T74" s="57"/>
      <c r="U74" s="57"/>
      <c r="V74" s="58"/>
      <c r="W74" s="67"/>
      <c r="X74" s="53"/>
      <c r="Y74" s="61"/>
      <c r="Z74" s="55"/>
      <c r="AA74" s="62"/>
      <c r="AB74" s="63"/>
    </row>
    <row r="75" ht="16.5">
      <c r="A75" s="64">
        <v>60</v>
      </c>
      <c r="B75" s="48"/>
      <c r="C75" s="49"/>
      <c r="D75" s="50"/>
      <c r="E75" s="51"/>
      <c r="F75" s="51"/>
      <c r="G75" s="65"/>
      <c r="H75" s="53"/>
      <c r="I75" s="54"/>
      <c r="J75" s="55"/>
      <c r="K75" s="56"/>
      <c r="L75" s="57"/>
      <c r="M75" s="58"/>
      <c r="N75" s="59"/>
      <c r="O75" s="66"/>
      <c r="P75" s="53"/>
      <c r="Q75" s="54"/>
      <c r="R75" s="55"/>
      <c r="S75" s="56"/>
      <c r="T75" s="57"/>
      <c r="U75" s="57"/>
      <c r="V75" s="58"/>
      <c r="W75" s="67"/>
      <c r="X75" s="53"/>
      <c r="Y75" s="61"/>
      <c r="Z75" s="55"/>
      <c r="AA75" s="62"/>
      <c r="AB75" s="63"/>
    </row>
    <row r="76" ht="16.5">
      <c r="A76" s="64">
        <v>61</v>
      </c>
      <c r="B76" s="48"/>
      <c r="C76" s="49"/>
      <c r="D76" s="50"/>
      <c r="E76" s="51"/>
      <c r="F76" s="51"/>
      <c r="G76" s="65"/>
      <c r="H76" s="53"/>
      <c r="I76" s="54"/>
      <c r="J76" s="55"/>
      <c r="K76" s="56"/>
      <c r="L76" s="57"/>
      <c r="M76" s="58"/>
      <c r="N76" s="59"/>
      <c r="O76" s="66"/>
      <c r="P76" s="53"/>
      <c r="Q76" s="54"/>
      <c r="R76" s="55"/>
      <c r="S76" s="56"/>
      <c r="T76" s="57"/>
      <c r="U76" s="57"/>
      <c r="V76" s="58"/>
      <c r="W76" s="67"/>
      <c r="X76" s="53"/>
      <c r="Y76" s="61"/>
      <c r="Z76" s="55"/>
      <c r="AA76" s="62"/>
      <c r="AB76" s="63"/>
    </row>
    <row r="77" ht="16.5">
      <c r="A77" s="64">
        <v>62</v>
      </c>
      <c r="B77" s="48"/>
      <c r="C77" s="49"/>
      <c r="D77" s="50"/>
      <c r="E77" s="51"/>
      <c r="F77" s="51"/>
      <c r="G77" s="65"/>
      <c r="H77" s="53"/>
      <c r="I77" s="54"/>
      <c r="J77" s="55"/>
      <c r="K77" s="56"/>
      <c r="L77" s="57"/>
      <c r="M77" s="58"/>
      <c r="N77" s="59"/>
      <c r="O77" s="66"/>
      <c r="P77" s="53"/>
      <c r="Q77" s="54"/>
      <c r="R77" s="55"/>
      <c r="S77" s="56"/>
      <c r="T77" s="57"/>
      <c r="U77" s="57"/>
      <c r="V77" s="58"/>
      <c r="W77" s="67"/>
      <c r="X77" s="53"/>
      <c r="Y77" s="61"/>
      <c r="Z77" s="55"/>
      <c r="AA77" s="62"/>
      <c r="AB77" s="63"/>
    </row>
    <row r="78" ht="16.5">
      <c r="A78" s="47">
        <v>63</v>
      </c>
      <c r="B78" s="48"/>
      <c r="C78" s="49"/>
      <c r="D78" s="50"/>
      <c r="E78" s="51"/>
      <c r="F78" s="51"/>
      <c r="G78" s="65"/>
      <c r="H78" s="53"/>
      <c r="I78" s="54"/>
      <c r="J78" s="55"/>
      <c r="K78" s="56"/>
      <c r="L78" s="57"/>
      <c r="M78" s="58"/>
      <c r="N78" s="59"/>
      <c r="O78" s="66"/>
      <c r="P78" s="53"/>
      <c r="Q78" s="54"/>
      <c r="R78" s="55"/>
      <c r="S78" s="56"/>
      <c r="T78" s="57"/>
      <c r="U78" s="57"/>
      <c r="V78" s="58"/>
      <c r="W78" s="67"/>
      <c r="X78" s="53"/>
      <c r="Y78" s="61"/>
      <c r="Z78" s="55"/>
      <c r="AA78" s="62"/>
      <c r="AB78" s="63"/>
    </row>
    <row r="79" ht="16.5">
      <c r="A79" s="64">
        <v>64</v>
      </c>
      <c r="B79" s="48"/>
      <c r="C79" s="49"/>
      <c r="D79" s="50"/>
      <c r="E79" s="51"/>
      <c r="F79" s="51"/>
      <c r="G79" s="65"/>
      <c r="H79" s="53"/>
      <c r="I79" s="54"/>
      <c r="J79" s="55"/>
      <c r="K79" s="56"/>
      <c r="L79" s="57"/>
      <c r="M79" s="58"/>
      <c r="N79" s="59"/>
      <c r="O79" s="66"/>
      <c r="P79" s="53"/>
      <c r="Q79" s="54"/>
      <c r="R79" s="55"/>
      <c r="S79" s="56"/>
      <c r="T79" s="57"/>
      <c r="U79" s="57"/>
      <c r="V79" s="58"/>
      <c r="W79" s="67"/>
      <c r="X79" s="53"/>
      <c r="Y79" s="61"/>
      <c r="Z79" s="55"/>
      <c r="AA79" s="62"/>
      <c r="AB79" s="63"/>
    </row>
    <row r="80" ht="13.5">
      <c r="A80" s="64">
        <v>65</v>
      </c>
      <c r="B80" s="48"/>
      <c r="C80" s="49"/>
      <c r="D80" s="50"/>
      <c r="E80" s="51"/>
      <c r="F80" s="51"/>
      <c r="G80" s="65"/>
      <c r="H80" s="53" t="str">
        <f t="shared" ref="H80" si="10">IFERROR(AVERAGE(D80:G80),"")</f>
        <v/>
      </c>
      <c r="I80" s="54"/>
      <c r="J80" s="55" t="str">
        <f t="shared" ref="J80" si="11">IFERROR((H80*2+I80)/3,"")</f>
        <v/>
      </c>
      <c r="K80" s="56" t="str">
        <f t="shared" ref="K80" si="12">IF(J80&lt;=9.4,"NS",IF(J80&lt;=13.4,"S",IF(J80&lt;=16.4,"B",IF(J80&lt;=18.4,"MB",IF(J80&lt;=20,"E","")))))</f>
        <v/>
      </c>
      <c r="L80" s="57"/>
      <c r="M80" s="58"/>
      <c r="N80" s="59"/>
      <c r="O80" s="66"/>
      <c r="P80" s="53" t="str">
        <f t="shared" ref="P80" si="13">IFERROR(AVERAGE(L80:O80),"")</f>
        <v/>
      </c>
      <c r="Q80" s="54"/>
      <c r="R80" s="55" t="str">
        <f t="shared" ref="R80" si="14">IFERROR((P80*2+Q80)/3,"")</f>
        <v/>
      </c>
      <c r="S80" s="56" t="str">
        <f t="shared" ref="S80" si="15">IF(R80&lt;=9.4,"NS",IF(R80&lt;=13.4,"S",IF(R80&lt;=16.4,"B",IF(R80&lt;=18.4,"MB",IF(R80&lt;=20,"E","")))))</f>
        <v/>
      </c>
      <c r="T80" s="57"/>
      <c r="U80" s="57"/>
      <c r="V80" s="58"/>
      <c r="W80" s="67"/>
      <c r="X80" s="53" t="str">
        <f t="shared" ref="X80" si="16">IFERROR(AVERAGE(T80:U80),"")</f>
        <v/>
      </c>
      <c r="Y80" s="61"/>
      <c r="Z80" s="55" t="str">
        <f t="shared" ref="Z80" si="17">IFERROR((X80*2+Y80)/3,"")</f>
        <v/>
      </c>
      <c r="AA80" s="62" t="str">
        <f t="shared" ref="AA80" si="18">IF(Z80&lt;=9.4,"NS",IF(Z80&lt;=13.4,"S",IF(Z80&lt;=16.4,"B",IF(Z80&lt;=18.4,"MB",IF(Z80&lt;=20,"E","")))))</f>
        <v/>
      </c>
      <c r="AB80" s="63" t="str">
        <f t="shared" ref="AB80" si="19">IFERROR(AVERAGE(J80,R80,Z80),"")</f>
        <v/>
      </c>
    </row>
    <row r="81" ht="13.5">
      <c r="B81" s="74" t="s">
        <v>22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4"/>
      <c r="AB81" s="75"/>
    </row>
    <row r="82">
      <c r="A82" s="76"/>
      <c r="B82" s="77" t="s">
        <v>23</v>
      </c>
      <c r="C82" s="15" t="s">
        <v>8</v>
      </c>
      <c r="D82" s="78" t="s">
        <v>9</v>
      </c>
      <c r="E82" s="79"/>
      <c r="F82" s="79"/>
      <c r="G82" s="79"/>
      <c r="H82" s="79"/>
      <c r="I82" s="79"/>
      <c r="J82" s="79"/>
      <c r="K82" s="80"/>
      <c r="L82" s="78" t="s">
        <v>10</v>
      </c>
      <c r="M82" s="79"/>
      <c r="N82" s="79"/>
      <c r="O82" s="79"/>
      <c r="P82" s="79"/>
      <c r="Q82" s="79"/>
      <c r="R82" s="79"/>
      <c r="S82" s="80"/>
      <c r="T82" s="78" t="s">
        <v>11</v>
      </c>
      <c r="U82" s="79"/>
      <c r="V82" s="79"/>
      <c r="W82" s="79"/>
      <c r="X82" s="79"/>
      <c r="Y82" s="79"/>
      <c r="Z82" s="79"/>
      <c r="AA82" s="80"/>
      <c r="AB82" s="81" t="s">
        <v>12</v>
      </c>
    </row>
    <row r="83" ht="13.5">
      <c r="A83" s="82"/>
      <c r="B83" s="83"/>
      <c r="C83" s="22"/>
      <c r="D83" s="84" t="s">
        <v>13</v>
      </c>
      <c r="E83" s="28"/>
      <c r="F83" s="28"/>
      <c r="G83" s="28"/>
      <c r="H83" s="25" t="s">
        <v>14</v>
      </c>
      <c r="I83" s="14" t="s">
        <v>15</v>
      </c>
      <c r="J83" s="85" t="s">
        <v>16</v>
      </c>
      <c r="K83" s="27" t="s">
        <v>17</v>
      </c>
      <c r="L83" s="84" t="s">
        <v>13</v>
      </c>
      <c r="M83" s="28"/>
      <c r="N83" s="28"/>
      <c r="O83" s="28"/>
      <c r="P83" s="25" t="s">
        <v>14</v>
      </c>
      <c r="Q83" s="14" t="s">
        <v>15</v>
      </c>
      <c r="R83" s="85" t="s">
        <v>16</v>
      </c>
      <c r="S83" s="27" t="s">
        <v>17</v>
      </c>
      <c r="T83" s="84" t="s">
        <v>13</v>
      </c>
      <c r="U83" s="28"/>
      <c r="V83" s="28"/>
      <c r="W83" s="28"/>
      <c r="X83" s="25" t="s">
        <v>14</v>
      </c>
      <c r="Y83" s="14" t="s">
        <v>15</v>
      </c>
      <c r="Z83" s="85" t="s">
        <v>16</v>
      </c>
      <c r="AA83" s="27" t="s">
        <v>17</v>
      </c>
      <c r="AB83" s="86"/>
    </row>
    <row r="84" ht="15">
      <c r="A84" s="87"/>
      <c r="B84" s="88"/>
      <c r="C84" s="89"/>
      <c r="D84" s="45" t="s">
        <v>18</v>
      </c>
      <c r="E84" s="44" t="s">
        <v>19</v>
      </c>
      <c r="F84" s="44" t="s">
        <v>20</v>
      </c>
      <c r="G84" s="44" t="s">
        <v>21</v>
      </c>
      <c r="H84" s="40"/>
      <c r="I84" s="36"/>
      <c r="J84" s="90"/>
      <c r="K84" s="42"/>
      <c r="L84" s="45" t="s">
        <v>18</v>
      </c>
      <c r="M84" s="44" t="s">
        <v>19</v>
      </c>
      <c r="N84" s="44" t="s">
        <v>20</v>
      </c>
      <c r="O84" s="44" t="s">
        <v>21</v>
      </c>
      <c r="P84" s="40"/>
      <c r="Q84" s="36"/>
      <c r="R84" s="90"/>
      <c r="S84" s="42"/>
      <c r="T84" s="45" t="s">
        <v>18</v>
      </c>
      <c r="U84" s="44" t="s">
        <v>19</v>
      </c>
      <c r="V84" s="44" t="s">
        <v>20</v>
      </c>
      <c r="W84" s="44" t="s">
        <v>21</v>
      </c>
      <c r="X84" s="40"/>
      <c r="Y84" s="36"/>
      <c r="Z84" s="90"/>
      <c r="AA84" s="42"/>
      <c r="AB84" s="91"/>
    </row>
    <row r="85" ht="15.75">
      <c r="A85" s="92">
        <v>1</v>
      </c>
      <c r="B85" s="93" t="s">
        <v>24</v>
      </c>
      <c r="C85" s="94" t="s">
        <v>25</v>
      </c>
      <c r="D85" s="95">
        <f>COUNTIFS($C$16:$C$80,"M",D16:D80,"&gt;0")</f>
        <v>0</v>
      </c>
      <c r="E85" s="95">
        <f>COUNTIFS($C$16:$C$80,"M",E16:E80,"&gt;0")</f>
        <v>0</v>
      </c>
      <c r="F85" s="95">
        <f>COUNTIFS($C$16:$C$80,"M",F16:F80,"&gt;0")</f>
        <v>0</v>
      </c>
      <c r="G85" s="95">
        <f>COUNTIFS($C$16:$C$80,"M",G16:G80,"&gt;0")</f>
        <v>0</v>
      </c>
      <c r="H85" s="95">
        <f>COUNTIFS($C$16:$C$80,"M",H16:H80,"&gt;0")</f>
        <v>0</v>
      </c>
      <c r="I85" s="95">
        <f>COUNTIFS($C$16:$C$80,"M",I16:I80,"&gt;0")</f>
        <v>0</v>
      </c>
      <c r="J85" s="95">
        <f>COUNTIFS($C$16:$C$80,"M",J16:J80,"&gt;0")</f>
        <v>0</v>
      </c>
      <c r="K85" s="95"/>
      <c r="L85" s="95">
        <f>COUNTIFS($C$16:$C$80,"M",L16:L80,"&gt;0")</f>
        <v>0</v>
      </c>
      <c r="M85" s="95">
        <f>COUNTIFS($C$16:$C$80,"M",M16:M80,"&gt;0")</f>
        <v>0</v>
      </c>
      <c r="N85" s="95">
        <f>COUNTIFS($C$16:$C$80,"M",N16:N80,"&gt;0")</f>
        <v>0</v>
      </c>
      <c r="O85" s="95">
        <f>COUNTIFS($C$16:$C$80,"M",O16:O80,"&gt;0")</f>
        <v>0</v>
      </c>
      <c r="P85" s="95">
        <f>COUNTIFS($C$16:$C$80,"M",P16:P80,"&gt;0")</f>
        <v>0</v>
      </c>
      <c r="Q85" s="95">
        <f>COUNTIFS($C$16:$C$80,"M",Q16:Q80,"&gt;0")</f>
        <v>0</v>
      </c>
      <c r="R85" s="95">
        <f>COUNTIFS($C$16:$C$80,"M",R16:R80,"&gt;0")</f>
        <v>0</v>
      </c>
      <c r="S85" s="95"/>
      <c r="T85" s="95">
        <f>COUNTIFS($C$16:$C$80,"M",T16:T80,"&gt;0")</f>
        <v>0</v>
      </c>
      <c r="U85" s="95">
        <f>COUNTIFS($C$16:$C$80,"M",U16:U80,"&gt;0")</f>
        <v>0</v>
      </c>
      <c r="V85" s="95">
        <f>COUNTIFS($C$16:$C$80,"M",V16:V80,"&gt;0")</f>
        <v>0</v>
      </c>
      <c r="W85" s="95">
        <f>COUNTIFS($C$16:$C$80,"M",W16:W80,"&gt;0")</f>
        <v>0</v>
      </c>
      <c r="X85" s="95">
        <f>COUNTIFS($C$16:$C$80,"M",X16:X80,"&gt;0")</f>
        <v>0</v>
      </c>
      <c r="Y85" s="95">
        <f>COUNTIFS($C$16:$C$80,"M",Y16:Y80,"&gt;0")</f>
        <v>0</v>
      </c>
      <c r="Z85" s="95">
        <f>COUNTIFS($C$16:$C$80,"M",Z16:Z80,"&gt;0")</f>
        <v>0</v>
      </c>
      <c r="AA85" s="95"/>
      <c r="AB85" s="95">
        <f>COUNTIFS($C$16:$C$80,"M",AB16:AB80,"&gt;0")</f>
        <v>0</v>
      </c>
    </row>
    <row r="86" ht="15">
      <c r="A86" s="92"/>
      <c r="B86" s="96"/>
      <c r="C86" s="97" t="s">
        <v>26</v>
      </c>
      <c r="D86" s="98">
        <f>COUNT(D16:D80)</f>
        <v>0</v>
      </c>
      <c r="E86" s="98">
        <f>COUNT(E16:E80)</f>
        <v>0</v>
      </c>
      <c r="F86" s="98">
        <f>COUNT(F16:F80)</f>
        <v>0</v>
      </c>
      <c r="G86" s="98">
        <f>COUNT(G16:G80)</f>
        <v>0</v>
      </c>
      <c r="H86" s="98">
        <f>COUNT(H16:H80)</f>
        <v>0</v>
      </c>
      <c r="I86" s="98">
        <f>COUNT(I16:I80)</f>
        <v>0</v>
      </c>
      <c r="J86" s="98">
        <f>COUNT(J16:J80)</f>
        <v>0</v>
      </c>
      <c r="K86" s="98"/>
      <c r="L86" s="98">
        <f>COUNT(L16:L80)</f>
        <v>0</v>
      </c>
      <c r="M86" s="98">
        <f>COUNT(M16:M80)</f>
        <v>0</v>
      </c>
      <c r="N86" s="98">
        <f>COUNT(N16:N80)</f>
        <v>0</v>
      </c>
      <c r="O86" s="98">
        <f>COUNT(O16:O80)</f>
        <v>0</v>
      </c>
      <c r="P86" s="98">
        <f>COUNT(P16:P80)</f>
        <v>0</v>
      </c>
      <c r="Q86" s="98">
        <f>COUNT(Q16:Q80)</f>
        <v>0</v>
      </c>
      <c r="R86" s="98">
        <f>COUNT(R16:R80)</f>
        <v>0</v>
      </c>
      <c r="S86" s="98"/>
      <c r="T86" s="98">
        <f>COUNT(T16:T80)</f>
        <v>0</v>
      </c>
      <c r="U86" s="98">
        <f>COUNT(U16:U80)</f>
        <v>0</v>
      </c>
      <c r="V86" s="98">
        <f>COUNT(V16:V80)</f>
        <v>0</v>
      </c>
      <c r="W86" s="98">
        <f>COUNT(W16:W80)</f>
        <v>0</v>
      </c>
      <c r="X86" s="98">
        <f>COUNT(X16:X80)</f>
        <v>0</v>
      </c>
      <c r="Y86" s="98">
        <f>COUNT(Y16:Y80)</f>
        <v>0</v>
      </c>
      <c r="Z86" s="98">
        <f>COUNT(Z16:Z80)</f>
        <v>0</v>
      </c>
      <c r="AA86" s="98"/>
      <c r="AB86" s="98">
        <f>COUNT(AB16:AB80)</f>
        <v>0</v>
      </c>
    </row>
    <row r="87" ht="15">
      <c r="A87" s="92">
        <v>2</v>
      </c>
      <c r="B87" s="99" t="s">
        <v>27</v>
      </c>
      <c r="C87" s="97" t="s">
        <v>25</v>
      </c>
      <c r="D87" s="95">
        <f>COUNTIFS($C$16:$C$80,"M",D16:D80,"&gt;9,5")</f>
        <v>0</v>
      </c>
      <c r="E87" s="95">
        <f>COUNTIFS($C$16:$C$80,"M",E16:E80,"&gt;9,5")</f>
        <v>0</v>
      </c>
      <c r="F87" s="95">
        <f>COUNTIFS($C$16:$C$80,"M",F16:F80,"&gt;9,5")</f>
        <v>0</v>
      </c>
      <c r="G87" s="95">
        <f>COUNTIFS($C$16:$C$80,"M",G16:G80,"&gt;9,5")</f>
        <v>0</v>
      </c>
      <c r="H87" s="95">
        <f>COUNTIFS($C$16:$C$80,"M",H16:H80,"&gt;9,5")</f>
        <v>0</v>
      </c>
      <c r="I87" s="95">
        <f>COUNTIFS($C$16:$C$80,"M",I16:I80,"&gt;9,5")</f>
        <v>0</v>
      </c>
      <c r="J87" s="95">
        <f>COUNTIFS($C$16:$C$80,"M",J16:J80,"&gt;9,5")</f>
        <v>0</v>
      </c>
      <c r="K87" s="95">
        <f>COUNTIFS($C$16:$C$80,"M",K16:K80,"&gt;9,5")</f>
        <v>0</v>
      </c>
      <c r="L87" s="95">
        <f>COUNTIFS($C$16:$C$80,"M",L16:L80,"&gt;9,5")</f>
        <v>0</v>
      </c>
      <c r="M87" s="95">
        <f>COUNTIFS($C$16:$C$80,"M",M16:M80,"&gt;9,5")</f>
        <v>0</v>
      </c>
      <c r="N87" s="95">
        <f>COUNTIFS($C$16:$C$80,"M",N16:N80,"&gt;9,5")</f>
        <v>0</v>
      </c>
      <c r="O87" s="95">
        <f>COUNTIFS($C$16:$C$80,"M",O16:O80,"&gt;9,5")</f>
        <v>0</v>
      </c>
      <c r="P87" s="95">
        <f>COUNTIFS($C$16:$C$80,"M",P16:P80,"&gt;9,5")</f>
        <v>0</v>
      </c>
      <c r="Q87" s="95">
        <f>COUNTIFS($C$16:$C$80,"M",Q16:Q80,"&gt;9,5")</f>
        <v>0</v>
      </c>
      <c r="R87" s="95">
        <f>COUNTIFS($C$16:$C$80,"M",R16:R80,"&gt;9,5")</f>
        <v>0</v>
      </c>
      <c r="S87" s="95">
        <f>COUNTIFS($C$16:$C$80,"M",S16:S80,"&gt;9,5")</f>
        <v>0</v>
      </c>
      <c r="T87" s="95">
        <f>COUNTIFS($C$16:$C$80,"M",T16:T80,"&gt;9,5")</f>
        <v>0</v>
      </c>
      <c r="U87" s="95">
        <f>COUNTIFS($C$16:$C$80,"M",U16:U80,"&gt;9,5")</f>
        <v>0</v>
      </c>
      <c r="V87" s="95">
        <f>COUNTIFS($C$16:$C$80,"M",V16:V80,"&gt;9,5")</f>
        <v>0</v>
      </c>
      <c r="W87" s="95">
        <f>COUNTIFS($C$16:$C$80,"M",W16:W80,"&gt;9,5")</f>
        <v>0</v>
      </c>
      <c r="X87" s="95">
        <f>COUNTIFS($C$16:$C$80,"M",X16:X80,"&gt;9,5")</f>
        <v>0</v>
      </c>
      <c r="Y87" s="95">
        <f>COUNTIFS($C$16:$C$80,"M",Y16:Y80,"&gt;9,5")</f>
        <v>0</v>
      </c>
      <c r="Z87" s="95">
        <f>COUNTIFS($C$16:$C$80,"M",Z16:Z80,"&gt;9,5")</f>
        <v>0</v>
      </c>
      <c r="AA87" s="95">
        <f>COUNTIFS($C$16:$C$80,"M",AA16:AA80,"&gt;9,5")</f>
        <v>0</v>
      </c>
      <c r="AB87" s="95">
        <f>COUNTIFS($C$16:$C$80,"M",AB16:AB80,"&gt;9,5")</f>
        <v>0</v>
      </c>
    </row>
    <row r="88" ht="15">
      <c r="A88" s="92"/>
      <c r="B88" s="96"/>
      <c r="C88" s="97" t="s">
        <v>26</v>
      </c>
      <c r="D88" s="100">
        <f>COUNTIF(D16:D80,"&gt;9,5")</f>
        <v>0</v>
      </c>
      <c r="E88" s="100">
        <f>COUNTIF(E16:E80,"&gt;9,5")</f>
        <v>0</v>
      </c>
      <c r="F88" s="100">
        <f>COUNTIF(F16:F80,"&gt;9,5")</f>
        <v>0</v>
      </c>
      <c r="G88" s="100">
        <f>COUNTIF(G16:G80,"&gt;9,5")</f>
        <v>0</v>
      </c>
      <c r="H88" s="100">
        <f>COUNTIF(H16:H80,"&gt;9,5")</f>
        <v>0</v>
      </c>
      <c r="I88" s="100">
        <f>COUNTIF(I16:I80,"&gt;9,5")</f>
        <v>0</v>
      </c>
      <c r="J88" s="100">
        <f>COUNTIF(J16:J80,"&gt;9,5")</f>
        <v>0</v>
      </c>
      <c r="K88" s="100"/>
      <c r="L88" s="100">
        <f>COUNTIF(L16:L80,"&gt;9,5")</f>
        <v>0</v>
      </c>
      <c r="M88" s="100">
        <f>COUNTIF(M16:M80,"&gt;9,5")</f>
        <v>0</v>
      </c>
      <c r="N88" s="100">
        <f>COUNTIF(N16:N80,"&gt;9,5")</f>
        <v>0</v>
      </c>
      <c r="O88" s="100">
        <f>COUNTIF(O16:O80,"&gt;9,5")</f>
        <v>0</v>
      </c>
      <c r="P88" s="100">
        <f>COUNTIF(P16:P80,"&gt;9,5")</f>
        <v>0</v>
      </c>
      <c r="Q88" s="100">
        <f>COUNTIF(Q16:Q80,"&gt;9,5")</f>
        <v>0</v>
      </c>
      <c r="R88" s="100">
        <f>COUNTIF(R16:R80,"&gt;9,5")</f>
        <v>0</v>
      </c>
      <c r="S88" s="100"/>
      <c r="T88" s="100">
        <f>COUNTIF(T16:T80,"&gt;9,5")</f>
        <v>0</v>
      </c>
      <c r="U88" s="100">
        <f>COUNTIF(U16:U80,"&gt;9,5")</f>
        <v>0</v>
      </c>
      <c r="V88" s="100">
        <f>COUNTIF(V16:V80,"&gt;9,5")</f>
        <v>0</v>
      </c>
      <c r="W88" s="100">
        <f>COUNTIF(W16:W80,"&gt;9,5")</f>
        <v>0</v>
      </c>
      <c r="X88" s="100">
        <f>COUNTIF(X16:X80,"&gt;9,5")</f>
        <v>0</v>
      </c>
      <c r="Y88" s="100">
        <f>COUNTIF(Y16:Y80,"&gt;9,5")</f>
        <v>0</v>
      </c>
      <c r="Z88" s="100">
        <f>COUNTIF(Z16:Z80,"&gt;9,5")</f>
        <v>0</v>
      </c>
      <c r="AA88" s="100"/>
      <c r="AB88" s="100">
        <f>COUNTIF(AB16:AB80,"&gt;9,5")</f>
        <v>0</v>
      </c>
    </row>
    <row r="89" ht="15">
      <c r="A89" s="92">
        <v>3</v>
      </c>
      <c r="B89" s="99" t="s">
        <v>28</v>
      </c>
      <c r="C89" s="97" t="s">
        <v>25</v>
      </c>
      <c r="D89" s="101">
        <f t="shared" ref="D89:D90" si="20">IFERROR(D87/D85,0)</f>
        <v>0</v>
      </c>
      <c r="E89" s="101">
        <f t="shared" ref="E89:E90" si="21">IFERROR(E87/E85,0)</f>
        <v>0</v>
      </c>
      <c r="F89" s="101">
        <f t="shared" ref="F89:F90" si="22">IFERROR(F87/F85,0)</f>
        <v>0</v>
      </c>
      <c r="G89" s="101">
        <f t="shared" ref="G89:G90" si="23">IFERROR(G87/G85,0)</f>
        <v>0</v>
      </c>
      <c r="H89" s="101">
        <f t="shared" ref="H89:H90" si="24">IFERROR(H87/H85,0)</f>
        <v>0</v>
      </c>
      <c r="I89" s="101">
        <f t="shared" ref="I89:I90" si="25">IFERROR(I87/I85,0)</f>
        <v>0</v>
      </c>
      <c r="J89" s="101">
        <f t="shared" ref="J89:J90" si="26">IFERROR(J87/J85,0)</f>
        <v>0</v>
      </c>
      <c r="K89" s="101"/>
      <c r="L89" s="101">
        <f t="shared" ref="L89:L90" si="27">IFERROR(L87/L85,0)</f>
        <v>0</v>
      </c>
      <c r="M89" s="101">
        <f t="shared" ref="M89:M90" si="28">IFERROR(M87/M85,0)</f>
        <v>0</v>
      </c>
      <c r="N89" s="101">
        <f t="shared" ref="N89:N90" si="29">IFERROR(N87/N85,0)</f>
        <v>0</v>
      </c>
      <c r="O89" s="101">
        <f t="shared" ref="O89:O90" si="30">IFERROR(O87/O85,0)</f>
        <v>0</v>
      </c>
      <c r="P89" s="101">
        <f t="shared" ref="P89:P90" si="31">IFERROR(P87/P85,0)</f>
        <v>0</v>
      </c>
      <c r="Q89" s="101">
        <f t="shared" ref="Q89:Q90" si="32">IFERROR(Q87/Q85,0)</f>
        <v>0</v>
      </c>
      <c r="R89" s="101">
        <f t="shared" ref="R89:R90" si="33">IFERROR(R87/R85,0)</f>
        <v>0</v>
      </c>
      <c r="S89" s="101"/>
      <c r="T89" s="101">
        <f t="shared" ref="T89:T90" si="34">IFERROR(T87/T85,0)</f>
        <v>0</v>
      </c>
      <c r="U89" s="101">
        <f t="shared" ref="U89:U90" si="35">IFERROR(U87/U85,0)</f>
        <v>0</v>
      </c>
      <c r="V89" s="101">
        <f t="shared" ref="V89:V90" si="36">IFERROR(V87/V85,0)</f>
        <v>0</v>
      </c>
      <c r="W89" s="101">
        <f t="shared" ref="W89:W90" si="37">IFERROR(W87/W85,0)</f>
        <v>0</v>
      </c>
      <c r="X89" s="101">
        <f t="shared" ref="X89:X90" si="38">IFERROR(X87/X85,0)</f>
        <v>0</v>
      </c>
      <c r="Y89" s="101">
        <f t="shared" ref="Y89:Y90" si="39">IFERROR(Y87/Y85,0)</f>
        <v>0</v>
      </c>
      <c r="Z89" s="101">
        <f t="shared" ref="Z89:Z90" si="40">IFERROR(Z87/Z85,0)</f>
        <v>0</v>
      </c>
      <c r="AA89" s="101"/>
      <c r="AB89" s="101">
        <f t="shared" ref="AB89:AB90" si="41">IFERROR(AB87/AB85,0)</f>
        <v>0</v>
      </c>
    </row>
    <row r="90" ht="13.5" customHeight="1">
      <c r="A90" s="92"/>
      <c r="B90" s="96"/>
      <c r="C90" s="97" t="s">
        <v>26</v>
      </c>
      <c r="D90" s="101">
        <f t="shared" si="20"/>
        <v>0</v>
      </c>
      <c r="E90" s="101">
        <f t="shared" si="21"/>
        <v>0</v>
      </c>
      <c r="F90" s="101">
        <f t="shared" si="22"/>
        <v>0</v>
      </c>
      <c r="G90" s="101">
        <f t="shared" si="23"/>
        <v>0</v>
      </c>
      <c r="H90" s="101">
        <f t="shared" si="24"/>
        <v>0</v>
      </c>
      <c r="I90" s="101">
        <f t="shared" si="25"/>
        <v>0</v>
      </c>
      <c r="J90" s="101">
        <f t="shared" si="26"/>
        <v>0</v>
      </c>
      <c r="K90" s="101"/>
      <c r="L90" s="101">
        <f t="shared" si="27"/>
        <v>0</v>
      </c>
      <c r="M90" s="101">
        <f t="shared" si="28"/>
        <v>0</v>
      </c>
      <c r="N90" s="101">
        <f t="shared" si="29"/>
        <v>0</v>
      </c>
      <c r="O90" s="101">
        <f t="shared" si="30"/>
        <v>0</v>
      </c>
      <c r="P90" s="101">
        <f t="shared" si="31"/>
        <v>0</v>
      </c>
      <c r="Q90" s="101">
        <f t="shared" si="32"/>
        <v>0</v>
      </c>
      <c r="R90" s="101">
        <f t="shared" si="33"/>
        <v>0</v>
      </c>
      <c r="S90" s="101"/>
      <c r="T90" s="101">
        <f t="shared" si="34"/>
        <v>0</v>
      </c>
      <c r="U90" s="101">
        <f t="shared" si="35"/>
        <v>0</v>
      </c>
      <c r="V90" s="101">
        <f t="shared" si="36"/>
        <v>0</v>
      </c>
      <c r="W90" s="101">
        <f t="shared" si="37"/>
        <v>0</v>
      </c>
      <c r="X90" s="101">
        <f t="shared" si="38"/>
        <v>0</v>
      </c>
      <c r="Y90" s="101">
        <f t="shared" si="39"/>
        <v>0</v>
      </c>
      <c r="Z90" s="101">
        <f t="shared" si="40"/>
        <v>0</v>
      </c>
      <c r="AA90" s="101"/>
      <c r="AB90" s="101">
        <f t="shared" si="41"/>
        <v>0</v>
      </c>
    </row>
    <row r="91" ht="12.75" customHeight="1">
      <c r="A91" s="92">
        <v>4</v>
      </c>
      <c r="B91" s="99" t="s">
        <v>29</v>
      </c>
      <c r="C91" s="97" t="s">
        <v>25</v>
      </c>
      <c r="D91" s="102">
        <f t="shared" ref="D91:D92" si="42">IFERROR(D85-D87,0)</f>
        <v>0</v>
      </c>
      <c r="E91" s="102">
        <f t="shared" ref="E91:E92" si="43">IFERROR(E85-E87,0)</f>
        <v>0</v>
      </c>
      <c r="F91" s="102">
        <f t="shared" ref="F91:F92" si="44">IFERROR(F85-F87,0)</f>
        <v>0</v>
      </c>
      <c r="G91" s="102">
        <f t="shared" ref="G91:G92" si="45">IFERROR(G85-G87,0)</f>
        <v>0</v>
      </c>
      <c r="H91" s="102">
        <f t="shared" ref="H91:H92" si="46">IFERROR(H85-H87,0)</f>
        <v>0</v>
      </c>
      <c r="I91" s="102">
        <f t="shared" ref="I91:I92" si="47">IFERROR(I85-I87,0)</f>
        <v>0</v>
      </c>
      <c r="J91" s="102">
        <f t="shared" ref="J91:J92" si="48">IFERROR(J85-J87,0)</f>
        <v>0</v>
      </c>
      <c r="K91" s="102"/>
      <c r="L91" s="102">
        <f t="shared" ref="L91:L92" si="49">IFERROR(L85-L87,0)</f>
        <v>0</v>
      </c>
      <c r="M91" s="102">
        <f t="shared" ref="M91:M92" si="50">IFERROR(M85-M87,0)</f>
        <v>0</v>
      </c>
      <c r="N91" s="102">
        <f t="shared" ref="N91:N92" si="51">IFERROR(N85-N87,0)</f>
        <v>0</v>
      </c>
      <c r="O91" s="102">
        <f t="shared" ref="O91:O92" si="52">IFERROR(O85-O87,0)</f>
        <v>0</v>
      </c>
      <c r="P91" s="102">
        <f t="shared" ref="P91:P92" si="53">IFERROR(P85-P87,0)</f>
        <v>0</v>
      </c>
      <c r="Q91" s="102">
        <f t="shared" ref="Q91:Q92" si="54">IFERROR(Q85-Q87,0)</f>
        <v>0</v>
      </c>
      <c r="R91" s="102">
        <f t="shared" ref="R91:R92" si="55">IFERROR(R85-R87,0)</f>
        <v>0</v>
      </c>
      <c r="S91" s="102"/>
      <c r="T91" s="102">
        <f t="shared" ref="T91:T92" si="56">IFERROR(T85-T87,0)</f>
        <v>0</v>
      </c>
      <c r="U91" s="102">
        <f t="shared" ref="U91:U92" si="57">IFERROR(U85-U87,0)</f>
        <v>0</v>
      </c>
      <c r="V91" s="102">
        <f t="shared" ref="V91:V92" si="58">IFERROR(V85-V87,0)</f>
        <v>0</v>
      </c>
      <c r="W91" s="102">
        <f t="shared" ref="W91:W92" si="59">IFERROR(W85-W87,0)</f>
        <v>0</v>
      </c>
      <c r="X91" s="102">
        <f t="shared" ref="X91:X92" si="60">IFERROR(X85-X87,0)</f>
        <v>0</v>
      </c>
      <c r="Y91" s="102">
        <f t="shared" ref="Y91:Y92" si="61">IFERROR(Y85-Y87,0)</f>
        <v>0</v>
      </c>
      <c r="Z91" s="102">
        <f t="shared" ref="Z91:Z92" si="62">IFERROR(Z85-Z87,0)</f>
        <v>0</v>
      </c>
      <c r="AA91" s="102"/>
      <c r="AB91" s="102">
        <f t="shared" ref="AB91:AB92" si="63">IFERROR(AB85-AB87,0)</f>
        <v>0</v>
      </c>
    </row>
    <row r="92" ht="15">
      <c r="A92" s="92"/>
      <c r="B92" s="96"/>
      <c r="C92" s="97" t="s">
        <v>26</v>
      </c>
      <c r="D92" s="103">
        <f t="shared" si="42"/>
        <v>0</v>
      </c>
      <c r="E92" s="103">
        <f t="shared" si="43"/>
        <v>0</v>
      </c>
      <c r="F92" s="103">
        <f t="shared" si="44"/>
        <v>0</v>
      </c>
      <c r="G92" s="103">
        <f t="shared" si="45"/>
        <v>0</v>
      </c>
      <c r="H92" s="103">
        <f t="shared" si="46"/>
        <v>0</v>
      </c>
      <c r="I92" s="103">
        <f t="shared" si="47"/>
        <v>0</v>
      </c>
      <c r="J92" s="103">
        <f t="shared" si="48"/>
        <v>0</v>
      </c>
      <c r="K92" s="103"/>
      <c r="L92" s="103">
        <f t="shared" si="49"/>
        <v>0</v>
      </c>
      <c r="M92" s="103">
        <f t="shared" si="50"/>
        <v>0</v>
      </c>
      <c r="N92" s="103">
        <f t="shared" si="51"/>
        <v>0</v>
      </c>
      <c r="O92" s="103">
        <f t="shared" si="52"/>
        <v>0</v>
      </c>
      <c r="P92" s="103">
        <f t="shared" si="53"/>
        <v>0</v>
      </c>
      <c r="Q92" s="103">
        <f t="shared" si="54"/>
        <v>0</v>
      </c>
      <c r="R92" s="103">
        <f t="shared" si="55"/>
        <v>0</v>
      </c>
      <c r="S92" s="103"/>
      <c r="T92" s="103">
        <f t="shared" si="56"/>
        <v>0</v>
      </c>
      <c r="U92" s="103">
        <f t="shared" si="57"/>
        <v>0</v>
      </c>
      <c r="V92" s="103">
        <f t="shared" si="58"/>
        <v>0</v>
      </c>
      <c r="W92" s="103">
        <f t="shared" si="59"/>
        <v>0</v>
      </c>
      <c r="X92" s="103">
        <f t="shared" si="60"/>
        <v>0</v>
      </c>
      <c r="Y92" s="103">
        <f t="shared" si="61"/>
        <v>0</v>
      </c>
      <c r="Z92" s="103">
        <f t="shared" si="62"/>
        <v>0</v>
      </c>
      <c r="AA92" s="103"/>
      <c r="AB92" s="103">
        <f t="shared" si="63"/>
        <v>0</v>
      </c>
    </row>
    <row r="93" ht="15">
      <c r="A93" s="92">
        <v>5</v>
      </c>
      <c r="B93" s="99" t="s">
        <v>30</v>
      </c>
      <c r="C93" s="97" t="s">
        <v>25</v>
      </c>
      <c r="D93" s="101">
        <f t="shared" ref="D93:D94" si="64">IFERROR(D91/D85,0)</f>
        <v>0</v>
      </c>
      <c r="E93" s="101">
        <f t="shared" ref="E93:E94" si="65">IFERROR(E91/E85,0)</f>
        <v>0</v>
      </c>
      <c r="F93" s="101">
        <f t="shared" ref="F93:F94" si="66">IFERROR(F91/F85,0)</f>
        <v>0</v>
      </c>
      <c r="G93" s="101">
        <f t="shared" ref="G93:G94" si="67">IFERROR(G91/G85,0)</f>
        <v>0</v>
      </c>
      <c r="H93" s="101">
        <f t="shared" ref="H93:H94" si="68">IFERROR(H91/H85,0)</f>
        <v>0</v>
      </c>
      <c r="I93" s="101">
        <f t="shared" ref="I93:I94" si="69">IFERROR(I91/I85,0)</f>
        <v>0</v>
      </c>
      <c r="J93" s="101">
        <f t="shared" ref="J93:J94" si="70">IFERROR(J91/J85,0)</f>
        <v>0</v>
      </c>
      <c r="K93" s="101"/>
      <c r="L93" s="101">
        <f t="shared" ref="L93:L94" si="71">IFERROR(L91/L85,0)</f>
        <v>0</v>
      </c>
      <c r="M93" s="101">
        <f t="shared" ref="M93:M94" si="72">IFERROR(M91/M85,0)</f>
        <v>0</v>
      </c>
      <c r="N93" s="101">
        <f t="shared" ref="N93:N94" si="73">IFERROR(N91/N85,0)</f>
        <v>0</v>
      </c>
      <c r="O93" s="101">
        <f t="shared" ref="O93:O94" si="74">IFERROR(O91/O85,0)</f>
        <v>0</v>
      </c>
      <c r="P93" s="101">
        <f t="shared" ref="P93:P94" si="75">IFERROR(P91/P85,0)</f>
        <v>0</v>
      </c>
      <c r="Q93" s="101">
        <f t="shared" ref="Q93:Q94" si="76">IFERROR(Q91/Q85,0)</f>
        <v>0</v>
      </c>
      <c r="R93" s="101">
        <f t="shared" ref="R93:R94" si="77">IFERROR(R91/R85,0)</f>
        <v>0</v>
      </c>
      <c r="S93" s="101"/>
      <c r="T93" s="101">
        <f t="shared" ref="T93:T94" si="78">IFERROR(T91/T85,0)</f>
        <v>0</v>
      </c>
      <c r="U93" s="101">
        <f t="shared" ref="U93:U94" si="79">IFERROR(U91/U85,0)</f>
        <v>0</v>
      </c>
      <c r="V93" s="101">
        <f t="shared" ref="V93:V94" si="80">IFERROR(V91/V85,0)</f>
        <v>0</v>
      </c>
      <c r="W93" s="101">
        <f t="shared" ref="W93:W94" si="81">IFERROR(W91/W85,0)</f>
        <v>0</v>
      </c>
      <c r="X93" s="101">
        <f t="shared" ref="X93:X94" si="82">IFERROR(X91/X85,0)</f>
        <v>0</v>
      </c>
      <c r="Y93" s="101">
        <f t="shared" ref="Y93:Y94" si="83">IFERROR(Y91/Y85,0)</f>
        <v>0</v>
      </c>
      <c r="Z93" s="101">
        <f t="shared" ref="Z93:Z94" si="84">IFERROR(Z91/Z85,0)</f>
        <v>0</v>
      </c>
      <c r="AA93" s="101"/>
      <c r="AB93" s="101">
        <f t="shared" ref="AB93:AB94" si="85">IFERROR(AB91/AB85,0)</f>
        <v>0</v>
      </c>
    </row>
    <row r="94" ht="15">
      <c r="A94" s="92"/>
      <c r="B94" s="96"/>
      <c r="C94" s="97" t="s">
        <v>26</v>
      </c>
      <c r="D94" s="101">
        <f t="shared" si="64"/>
        <v>0</v>
      </c>
      <c r="E94" s="101">
        <f t="shared" si="65"/>
        <v>0</v>
      </c>
      <c r="F94" s="101">
        <f t="shared" si="66"/>
        <v>0</v>
      </c>
      <c r="G94" s="101">
        <f t="shared" si="67"/>
        <v>0</v>
      </c>
      <c r="H94" s="101">
        <f t="shared" si="68"/>
        <v>0</v>
      </c>
      <c r="I94" s="101">
        <f t="shared" si="69"/>
        <v>0</v>
      </c>
      <c r="J94" s="101">
        <f t="shared" si="70"/>
        <v>0</v>
      </c>
      <c r="K94" s="101"/>
      <c r="L94" s="101">
        <f t="shared" si="71"/>
        <v>0</v>
      </c>
      <c r="M94" s="101">
        <f t="shared" si="72"/>
        <v>0</v>
      </c>
      <c r="N94" s="101">
        <f t="shared" si="73"/>
        <v>0</v>
      </c>
      <c r="O94" s="101">
        <f t="shared" si="74"/>
        <v>0</v>
      </c>
      <c r="P94" s="101">
        <f t="shared" si="75"/>
        <v>0</v>
      </c>
      <c r="Q94" s="101">
        <f t="shared" si="76"/>
        <v>0</v>
      </c>
      <c r="R94" s="101">
        <f t="shared" si="77"/>
        <v>0</v>
      </c>
      <c r="S94" s="101"/>
      <c r="T94" s="101">
        <f t="shared" si="78"/>
        <v>0</v>
      </c>
      <c r="U94" s="101">
        <f t="shared" si="79"/>
        <v>0</v>
      </c>
      <c r="V94" s="101">
        <f t="shared" si="80"/>
        <v>0</v>
      </c>
      <c r="W94" s="101">
        <f t="shared" si="81"/>
        <v>0</v>
      </c>
      <c r="X94" s="101">
        <f t="shared" si="82"/>
        <v>0</v>
      </c>
      <c r="Y94" s="101">
        <f t="shared" si="83"/>
        <v>0</v>
      </c>
      <c r="Z94" s="101">
        <f t="shared" si="84"/>
        <v>0</v>
      </c>
      <c r="AA94" s="101"/>
      <c r="AB94" s="101">
        <f t="shared" si="85"/>
        <v>0</v>
      </c>
    </row>
    <row r="95" ht="15">
      <c r="A95" s="92">
        <v>6</v>
      </c>
      <c r="B95" s="99" t="s">
        <v>31</v>
      </c>
      <c r="C95" s="97" t="s">
        <v>25</v>
      </c>
      <c r="D95" s="103">
        <f>SUMIF($C$16:$C$80,"M",D16:D80)</f>
        <v>0</v>
      </c>
      <c r="E95" s="103">
        <f>SUMIF($C$16:$C$80,"M",E16:E80)</f>
        <v>0</v>
      </c>
      <c r="F95" s="103">
        <f>SUMIF($C$16:$C$80,"M",F16:F80)</f>
        <v>0</v>
      </c>
      <c r="G95" s="103">
        <f>SUMIF($C$16:$C$80,"M",G16:G80)</f>
        <v>0</v>
      </c>
      <c r="H95" s="103">
        <f>SUMIF($C$16:$C$80,"M",H16:H80)</f>
        <v>0</v>
      </c>
      <c r="I95" s="103">
        <f>SUMIF($C$16:$C$80,"M",I16:I80)</f>
        <v>0</v>
      </c>
      <c r="J95" s="103">
        <f>SUMIF($C$16:$C$80,"M",J16:J80)</f>
        <v>0</v>
      </c>
      <c r="K95" s="103"/>
      <c r="L95" s="103">
        <f>SUMIF($C$16:$C$80,"M",L16:L80)</f>
        <v>0</v>
      </c>
      <c r="M95" s="103">
        <f>SUMIF($C$16:$C$80,"M",M16:M80)</f>
        <v>0</v>
      </c>
      <c r="N95" s="103">
        <f>SUMIF($C$16:$C$80,"M",N16:N80)</f>
        <v>0</v>
      </c>
      <c r="O95" s="103">
        <f>SUMIF($C$16:$C$80,"M",O16:O80)</f>
        <v>0</v>
      </c>
      <c r="P95" s="103">
        <f>SUMIF($C$16:$C$80,"M",P16:P80)</f>
        <v>0</v>
      </c>
      <c r="Q95" s="103">
        <f>SUMIF($C$16:$C$80,"M",Q16:Q80)</f>
        <v>0</v>
      </c>
      <c r="R95" s="103">
        <f>SUMIF($C$16:$C$80,"M",R16:R80)</f>
        <v>0</v>
      </c>
      <c r="S95" s="103"/>
      <c r="T95" s="103">
        <f>SUMIF($C$16:$C$80,"M",T16:T80)</f>
        <v>0</v>
      </c>
      <c r="U95" s="103">
        <f>SUMIF($C$16:$C$80,"M",U16:U80)</f>
        <v>0</v>
      </c>
      <c r="V95" s="103">
        <f>SUMIF($C$16:$C$80,"M",V16:V80)</f>
        <v>0</v>
      </c>
      <c r="W95" s="103">
        <f>SUMIF($C$16:$C$80,"M",W16:W80)</f>
        <v>0</v>
      </c>
      <c r="X95" s="103">
        <f>SUMIF($C$16:$C$80,"M",X16:X80)</f>
        <v>0</v>
      </c>
      <c r="Y95" s="103">
        <f>SUMIF($C$16:$C$80,"M",Y16:Y80)</f>
        <v>0</v>
      </c>
      <c r="Z95" s="103">
        <f>SUMIF($C$16:$C$80,"M",Z16:Z80)</f>
        <v>0</v>
      </c>
      <c r="AA95" s="103"/>
      <c r="AB95" s="103">
        <f>SUMIF($C$16:$C$80,"M",AB16:AB80)</f>
        <v>0</v>
      </c>
    </row>
    <row r="96" ht="15">
      <c r="A96" s="92"/>
      <c r="B96" s="96"/>
      <c r="C96" s="97" t="s">
        <v>26</v>
      </c>
      <c r="D96" s="104">
        <f>SUM(D16:D80)</f>
        <v>0</v>
      </c>
      <c r="E96" s="104">
        <f>SUM(E16:E80)</f>
        <v>0</v>
      </c>
      <c r="F96" s="104">
        <f>SUM(F16:F80)</f>
        <v>0</v>
      </c>
      <c r="G96" s="104">
        <f>SUM(G16:G80)</f>
        <v>0</v>
      </c>
      <c r="H96" s="104">
        <f>SUM(H16:H80)</f>
        <v>0</v>
      </c>
      <c r="I96" s="104">
        <f>SUM(I16:I80)</f>
        <v>0</v>
      </c>
      <c r="J96" s="104">
        <f>SUM(J16:J80)</f>
        <v>0</v>
      </c>
      <c r="K96" s="104"/>
      <c r="L96" s="104">
        <f>SUM(L16:L80)</f>
        <v>0</v>
      </c>
      <c r="M96" s="104">
        <f>SUM(M16:M80)</f>
        <v>0</v>
      </c>
      <c r="N96" s="104">
        <f>SUM(N16:N80)</f>
        <v>0</v>
      </c>
      <c r="O96" s="104">
        <f>SUM(O16:O80)</f>
        <v>0</v>
      </c>
      <c r="P96" s="104">
        <f>SUM(P16:P80)</f>
        <v>0</v>
      </c>
      <c r="Q96" s="104">
        <f>SUM(Q16:Q80)</f>
        <v>0</v>
      </c>
      <c r="R96" s="104">
        <f>SUM(R16:R80)</f>
        <v>0</v>
      </c>
      <c r="S96" s="104"/>
      <c r="T96" s="104">
        <f>SUM(T16:T80)</f>
        <v>0</v>
      </c>
      <c r="U96" s="104">
        <f>SUM(U16:U80)</f>
        <v>0</v>
      </c>
      <c r="V96" s="104">
        <f>SUM(V16:V80)</f>
        <v>0</v>
      </c>
      <c r="W96" s="104">
        <f>SUM(W16:W80)</f>
        <v>0</v>
      </c>
      <c r="X96" s="104">
        <f>SUM(X16:X80)</f>
        <v>0</v>
      </c>
      <c r="Y96" s="104">
        <f>SUM(Y16:Y80)</f>
        <v>0</v>
      </c>
      <c r="Z96" s="104">
        <f>SUM(Z16:Z80)</f>
        <v>0</v>
      </c>
      <c r="AA96" s="104"/>
      <c r="AB96" s="104">
        <f>SUM(AB16:AB80)</f>
        <v>0</v>
      </c>
    </row>
    <row r="97" ht="15.75">
      <c r="A97" s="64">
        <v>7</v>
      </c>
      <c r="B97" s="99" t="s">
        <v>32</v>
      </c>
      <c r="C97" s="97" t="s">
        <v>25</v>
      </c>
      <c r="D97" s="104">
        <f>IFERROR((D95/D85),0)</f>
        <v>0</v>
      </c>
      <c r="E97" s="104">
        <f>IFERROR((E95/E85),0)</f>
        <v>0</v>
      </c>
      <c r="F97" s="104">
        <f>IFERROR((F95/F85),0)</f>
        <v>0</v>
      </c>
      <c r="G97" s="104">
        <f>IFERROR((G95/G85),0)</f>
        <v>0</v>
      </c>
      <c r="H97" s="104">
        <f>IFERROR((H95/H85),0)</f>
        <v>0</v>
      </c>
      <c r="I97" s="104">
        <f>IFERROR((I95/I85),0)</f>
        <v>0</v>
      </c>
      <c r="J97" s="104">
        <f>IFERROR((J95/J85),0)</f>
        <v>0</v>
      </c>
      <c r="K97" s="104"/>
      <c r="L97" s="104">
        <f>IFERROR((L95/L85),0)</f>
        <v>0</v>
      </c>
      <c r="M97" s="104">
        <f>IFERROR((M95/M85),0)</f>
        <v>0</v>
      </c>
      <c r="N97" s="104">
        <f>IFERROR((N95/N85),0)</f>
        <v>0</v>
      </c>
      <c r="O97" s="104">
        <f>IFERROR((O95/O85),0)</f>
        <v>0</v>
      </c>
      <c r="P97" s="104">
        <f>IFERROR((P95/P85),0)</f>
        <v>0</v>
      </c>
      <c r="Q97" s="104">
        <f>IFERROR((Q95/Q85),0)</f>
        <v>0</v>
      </c>
      <c r="R97" s="104">
        <f>IFERROR((R95/R85),0)</f>
        <v>0</v>
      </c>
      <c r="S97" s="104"/>
      <c r="T97" s="104">
        <f>IFERROR((T95/T85),0)</f>
        <v>0</v>
      </c>
      <c r="U97" s="104">
        <f>IFERROR((U95/U85),0)</f>
        <v>0</v>
      </c>
      <c r="V97" s="104">
        <f>IFERROR((V95/V85),0)</f>
        <v>0</v>
      </c>
      <c r="W97" s="104">
        <f>IFERROR((W95/W85),0)</f>
        <v>0</v>
      </c>
      <c r="X97" s="104">
        <f>IFERROR((X95/X85),0)</f>
        <v>0</v>
      </c>
      <c r="Y97" s="104">
        <f>IFERROR((Y95/Y85),0)</f>
        <v>0</v>
      </c>
      <c r="Z97" s="104">
        <f>IFERROR((Z95/Z85),0)</f>
        <v>0</v>
      </c>
      <c r="AA97" s="104"/>
      <c r="AB97" s="104">
        <f>IFERROR((AB95/AB85),0)</f>
        <v>0</v>
      </c>
    </row>
    <row r="98" ht="15.75">
      <c r="A98" s="105"/>
      <c r="B98" s="106"/>
      <c r="C98" s="107" t="s">
        <v>26</v>
      </c>
      <c r="D98" s="108">
        <f>AVERAGE((D16:D80),0)</f>
        <v>0</v>
      </c>
      <c r="E98" s="108">
        <f>AVERAGE((E16:E80),0)</f>
        <v>0</v>
      </c>
      <c r="F98" s="108">
        <f>AVERAGE((F16:F80),0)</f>
        <v>0</v>
      </c>
      <c r="G98" s="108">
        <f>AVERAGE((G16:G80),0)</f>
        <v>0</v>
      </c>
      <c r="H98" s="108">
        <f>AVERAGE((H16:H80),0)</f>
        <v>0</v>
      </c>
      <c r="I98" s="108">
        <f>AVERAGE((I16:I80),0)</f>
        <v>0</v>
      </c>
      <c r="J98" s="108">
        <f>AVERAGE((J16:J80),0)</f>
        <v>0</v>
      </c>
      <c r="K98" s="108"/>
      <c r="L98" s="108">
        <f>AVERAGE((L16:L80),0)</f>
        <v>0</v>
      </c>
      <c r="M98" s="108">
        <f>AVERAGE((M16:M80),0)</f>
        <v>0</v>
      </c>
      <c r="N98" s="108">
        <f>AVERAGE((N16:N80),0)</f>
        <v>0</v>
      </c>
      <c r="O98" s="108">
        <f>AVERAGE((O16:O80),0)</f>
        <v>0</v>
      </c>
      <c r="P98" s="108">
        <f>AVERAGE((P16:P80),0)</f>
        <v>0</v>
      </c>
      <c r="Q98" s="108">
        <f>AVERAGE((Q16:Q80),0)</f>
        <v>0</v>
      </c>
      <c r="R98" s="108">
        <f>AVERAGE((R16:R80),0)</f>
        <v>0</v>
      </c>
      <c r="S98" s="108"/>
      <c r="T98" s="108">
        <f>AVERAGE((T16:T80),0)</f>
        <v>0</v>
      </c>
      <c r="U98" s="108">
        <f>AVERAGE((U16:U80),0)</f>
        <v>0</v>
      </c>
      <c r="V98" s="108">
        <f>AVERAGE((V16:V80),0)</f>
        <v>0</v>
      </c>
      <c r="W98" s="108">
        <f>AVERAGE((W16:W80),0)</f>
        <v>0</v>
      </c>
      <c r="X98" s="108">
        <f>AVERAGE((X16:X80),0)</f>
        <v>0</v>
      </c>
      <c r="Y98" s="108">
        <f>AVERAGE((Y16:Y80),0)</f>
        <v>0</v>
      </c>
      <c r="Z98" s="108">
        <f>AVERAGE((Z16:Z80),0)</f>
        <v>0</v>
      </c>
      <c r="AA98" s="108"/>
      <c r="AB98" s="108">
        <f>AVERAGE((AB16:AB80),0)</f>
        <v>0</v>
      </c>
    </row>
    <row r="99" ht="15">
      <c r="A99" s="105"/>
      <c r="B99" s="109" t="s">
        <v>33</v>
      </c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1"/>
    </row>
    <row r="100" ht="15">
      <c r="A100" s="105">
        <v>8</v>
      </c>
      <c r="B100" s="112" t="s">
        <v>34</v>
      </c>
      <c r="C100" s="113" t="s">
        <v>35</v>
      </c>
      <c r="D100" s="114">
        <f>COUNTIF(D16:D80,"&lt;9,4")</f>
        <v>0</v>
      </c>
      <c r="E100" s="114">
        <f>COUNTIF(E16:E80,"&lt;9,4")</f>
        <v>0</v>
      </c>
      <c r="F100" s="114">
        <f>COUNTIF(F16:F80,"&lt;9,4")</f>
        <v>0</v>
      </c>
      <c r="G100" s="114">
        <f>COUNTIF(G16:G80,"&lt;9,4")</f>
        <v>0</v>
      </c>
      <c r="H100" s="114">
        <f>COUNTIF(H16:H80,"&lt;9,4")</f>
        <v>0</v>
      </c>
      <c r="I100" s="114">
        <f>COUNTIF(I16:I80,"&lt;9,4")</f>
        <v>0</v>
      </c>
      <c r="J100" s="114">
        <f>COUNTIF(J16:J80,"&lt;9,4")</f>
        <v>0</v>
      </c>
      <c r="K100" s="114"/>
      <c r="L100" s="114">
        <f>COUNTIF(L16:L80,"&lt;9,4")</f>
        <v>0</v>
      </c>
      <c r="M100" s="114">
        <f>COUNTIF(M16:M80,"&lt;9,4")</f>
        <v>0</v>
      </c>
      <c r="N100" s="114">
        <f>COUNTIF(N16:N80,"&lt;9,4")</f>
        <v>0</v>
      </c>
      <c r="O100" s="114">
        <f>COUNTIF(O16:O80,"&lt;9,4")</f>
        <v>0</v>
      </c>
      <c r="P100" s="114">
        <f>COUNTIF(P16:P80,"&lt;9,4")</f>
        <v>0</v>
      </c>
      <c r="Q100" s="114">
        <f>COUNTIF(Q16:Q80,"&lt;9,4")</f>
        <v>0</v>
      </c>
      <c r="R100" s="114">
        <f>COUNTIF(R16:R80,"&lt;9,4")</f>
        <v>0</v>
      </c>
      <c r="S100" s="114"/>
      <c r="T100" s="114">
        <f>COUNTIF(T16:T80,"&lt;9,4")</f>
        <v>0</v>
      </c>
      <c r="U100" s="114">
        <f>COUNTIF(U16:U80,"&lt;9,4")</f>
        <v>0</v>
      </c>
      <c r="V100" s="114">
        <f>COUNTIF(V16:V80,"&lt;9,4")</f>
        <v>0</v>
      </c>
      <c r="W100" s="114">
        <f>COUNTIF(W16:W80,"&lt;9,4")</f>
        <v>0</v>
      </c>
      <c r="X100" s="114">
        <f>COUNTIF(X16:X80,"&lt;9,4")</f>
        <v>0</v>
      </c>
      <c r="Y100" s="114">
        <f>COUNTIF(Y16:Y80,"&lt;9,4")</f>
        <v>0</v>
      </c>
      <c r="Z100" s="114">
        <f>COUNTIF(Z16:Z80,"&lt;9,4")</f>
        <v>0</v>
      </c>
      <c r="AA100" s="114"/>
      <c r="AB100" s="114">
        <f>COUNTIF(AB16:AB80,"&lt;9,4")</f>
        <v>0</v>
      </c>
    </row>
    <row r="101" ht="15">
      <c r="A101" s="105">
        <v>9</v>
      </c>
      <c r="B101" s="115" t="s">
        <v>36</v>
      </c>
      <c r="C101" s="116" t="s">
        <v>37</v>
      </c>
      <c r="D101" s="102">
        <f>COUNTIFS(D16:D80,"&gt;9,4",D16:D80,"&lt;13,4")</f>
        <v>0</v>
      </c>
      <c r="E101" s="102">
        <f>COUNTIFS(E16:E80,"&gt;9,4",E16:E80,"&lt;13,4")</f>
        <v>0</v>
      </c>
      <c r="F101" s="102">
        <f>COUNTIFS(F16:F80,"&gt;9,4",F16:F80,"&lt;13,4")</f>
        <v>0</v>
      </c>
      <c r="G101" s="102">
        <f>COUNTIFS(G16:G80,"&gt;9,4",G16:G80,"&lt;13,4")</f>
        <v>0</v>
      </c>
      <c r="H101" s="102">
        <f>COUNTIFS(H16:H80,"&gt;9,4",H16:H80,"&lt;13,4")</f>
        <v>0</v>
      </c>
      <c r="I101" s="102">
        <f>COUNTIFS(I16:I80,"&gt;9,4",I16:I80,"&lt;13,4")</f>
        <v>0</v>
      </c>
      <c r="J101" s="102">
        <f>COUNTIFS(J16:J80,"&gt;9,4",J16:J80,"&lt;13,4")</f>
        <v>0</v>
      </c>
      <c r="K101" s="102"/>
      <c r="L101" s="102">
        <f>COUNTIFS(L16:L80,"&gt;9,4",L16:L80,"&lt;13,4")</f>
        <v>0</v>
      </c>
      <c r="M101" s="102">
        <f>COUNTIFS(M16:M80,"&gt;9,4",M16:M80,"&lt;13,4")</f>
        <v>0</v>
      </c>
      <c r="N101" s="102">
        <f>COUNTIFS(N16:N80,"&gt;9,4",N16:N80,"&lt;13,4")</f>
        <v>0</v>
      </c>
      <c r="O101" s="102">
        <f>COUNTIFS(O16:O80,"&gt;9,4",O16:O80,"&lt;13,4")</f>
        <v>0</v>
      </c>
      <c r="P101" s="102">
        <f>COUNTIFS(P16:P80,"&gt;9,4",P16:P80,"&lt;13,4")</f>
        <v>0</v>
      </c>
      <c r="Q101" s="102">
        <f>COUNTIFS(Q16:Q80,"&gt;9,4",Q16:Q80,"&lt;13,4")</f>
        <v>0</v>
      </c>
      <c r="R101" s="102">
        <f>COUNTIFS(R16:R80,"&gt;9,4",R16:R80,"&lt;13,4")</f>
        <v>0</v>
      </c>
      <c r="S101" s="102"/>
      <c r="T101" s="102">
        <f>COUNTIFS(T16:T80,"&gt;9,4",T16:T80,"&lt;13,4")</f>
        <v>0</v>
      </c>
      <c r="U101" s="102">
        <f>COUNTIFS(U16:U80,"&gt;9,4",U16:U80,"&lt;13,4")</f>
        <v>0</v>
      </c>
      <c r="V101" s="102">
        <f>COUNTIFS(V16:V80,"&gt;9,4",V16:V80,"&lt;13,4")</f>
        <v>0</v>
      </c>
      <c r="W101" s="102">
        <f>COUNTIFS(W16:W80,"&gt;9,4",W16:W80,"&lt;13,4")</f>
        <v>0</v>
      </c>
      <c r="X101" s="102">
        <f>COUNTIFS(X16:X80,"&gt;9,4",X16:X80,"&lt;13,4")</f>
        <v>0</v>
      </c>
      <c r="Y101" s="102">
        <f>COUNTIFS(Y16:Y80,"&gt;9,4",Y16:Y80,"&lt;13,4")</f>
        <v>0</v>
      </c>
      <c r="Z101" s="102">
        <f>COUNTIFS(Z16:Z80,"&gt;9,4",Z16:Z80,"&lt;13,4")</f>
        <v>0</v>
      </c>
      <c r="AA101" s="102"/>
      <c r="AB101" s="102">
        <f>COUNTIFS(AB16:AB80,"&gt;9,4",AB16:AB80,"&lt;13,4")</f>
        <v>0</v>
      </c>
    </row>
    <row r="102" ht="15">
      <c r="A102" s="105">
        <v>11</v>
      </c>
      <c r="B102" s="115" t="s">
        <v>38</v>
      </c>
      <c r="C102" s="116" t="s">
        <v>39</v>
      </c>
      <c r="D102" s="103">
        <f>COUNTIFS(D16:D80,"&gt;13,5",D16:D80,"&lt;16,4")</f>
        <v>0</v>
      </c>
      <c r="E102" s="103">
        <f>COUNTIFS(E16:E80,"&gt;13,5",E16:E80,"&lt;16,4")</f>
        <v>0</v>
      </c>
      <c r="F102" s="103">
        <f>COUNTIFS(F16:F80,"&gt;13,5",F16:F80,"&lt;16,4")</f>
        <v>0</v>
      </c>
      <c r="G102" s="103">
        <f>COUNTIFS(G16:G80,"&gt;13,5",G16:G80,"&lt;16,4")</f>
        <v>0</v>
      </c>
      <c r="H102" s="103">
        <f>COUNTIFS(H16:H80,"&gt;13,5",H16:H80,"&lt;16,4")</f>
        <v>0</v>
      </c>
      <c r="I102" s="103">
        <f>COUNTIFS(I16:I80,"&gt;13,5",I16:I80,"&lt;16,4")</f>
        <v>0</v>
      </c>
      <c r="J102" s="103">
        <f>COUNTIFS(J16:J80,"&gt;13,5",J16:J80,"&lt;16,4")</f>
        <v>0</v>
      </c>
      <c r="K102" s="103"/>
      <c r="L102" s="103">
        <f>COUNTIFS(L16:L80,"&gt;13,5",L16:L80,"&lt;16,4")</f>
        <v>0</v>
      </c>
      <c r="M102" s="103">
        <f>COUNTIFS(M16:M80,"&gt;13,5",M16:M80,"&lt;16,4")</f>
        <v>0</v>
      </c>
      <c r="N102" s="103">
        <f>COUNTIFS(N16:N80,"&gt;13,5",N16:N80,"&lt;16,4")</f>
        <v>0</v>
      </c>
      <c r="O102" s="103">
        <f>COUNTIFS(O16:O80,"&gt;13,5",O16:O80,"&lt;16,4")</f>
        <v>0</v>
      </c>
      <c r="P102" s="103">
        <f>COUNTIFS(P16:P80,"&gt;13,5",P16:P80,"&lt;16,4")</f>
        <v>0</v>
      </c>
      <c r="Q102" s="103">
        <f>COUNTIFS(Q16:Q80,"&gt;13,5",Q16:Q80,"&lt;16,4")</f>
        <v>0</v>
      </c>
      <c r="R102" s="103">
        <f>COUNTIFS(R16:R80,"&gt;13,5",R16:R80,"&lt;16,4")</f>
        <v>0</v>
      </c>
      <c r="S102" s="103"/>
      <c r="T102" s="103">
        <f>COUNTIFS(T16:T80,"&gt;13,5",T16:T80,"&lt;16,4")</f>
        <v>0</v>
      </c>
      <c r="U102" s="103">
        <f>COUNTIFS(U16:U80,"&gt;13,5",U16:U80,"&lt;16,4")</f>
        <v>0</v>
      </c>
      <c r="V102" s="103">
        <f>COUNTIFS(V16:V80,"&gt;13,5",V16:V80,"&lt;16,4")</f>
        <v>0</v>
      </c>
      <c r="W102" s="103">
        <f>COUNTIFS(W16:W80,"&gt;13,5",W16:W80,"&lt;16,4")</f>
        <v>0</v>
      </c>
      <c r="X102" s="103">
        <f>COUNTIFS(X16:X80,"&gt;13,5",X16:X80,"&lt;16,4")</f>
        <v>0</v>
      </c>
      <c r="Y102" s="103">
        <f>COUNTIFS(Y16:Y80,"&gt;13,5",Y16:Y80,"&lt;16,4")</f>
        <v>0</v>
      </c>
      <c r="Z102" s="103">
        <f>COUNTIFS(Z16:Z80,"&gt;13,5",Z16:Z80,"&lt;16,4")</f>
        <v>0</v>
      </c>
      <c r="AA102" s="103"/>
      <c r="AB102" s="103">
        <f>COUNTIFS(AB16:AB80,"&gt;13,5",AB16:AB80,"&lt;16,4")</f>
        <v>0</v>
      </c>
    </row>
    <row r="103" ht="15.75">
      <c r="A103" s="105">
        <v>9</v>
      </c>
      <c r="B103" s="115" t="s">
        <v>40</v>
      </c>
      <c r="C103" s="116" t="s">
        <v>41</v>
      </c>
      <c r="D103" s="102">
        <f>COUNTIFS(D16:D80,"&gt;16,5",D16:D80,"&lt;18,4")</f>
        <v>0</v>
      </c>
      <c r="E103" s="102">
        <f>COUNTIFS(E16:E80,"&gt;16,5",E16:E80,"&lt;18,4")</f>
        <v>0</v>
      </c>
      <c r="F103" s="102">
        <f>COUNTIFS(F16:F80,"&gt;16,5",F16:F80,"&lt;18,4")</f>
        <v>0</v>
      </c>
      <c r="G103" s="102">
        <f>COUNTIFS(G16:G80,"&gt;16,5",G16:G80,"&lt;18,4")</f>
        <v>0</v>
      </c>
      <c r="H103" s="102">
        <f>COUNTIFS(H16:H80,"&gt;16,5",H16:H80,"&lt;18,4")</f>
        <v>0</v>
      </c>
      <c r="I103" s="102">
        <f>COUNTIFS(I16:I80,"&gt;16,5",I16:I80,"&lt;18,4")</f>
        <v>0</v>
      </c>
      <c r="J103" s="102">
        <f>COUNTIFS(J16:J80,"&gt;16,5",J16:J80,"&lt;18,4")</f>
        <v>0</v>
      </c>
      <c r="K103" s="102"/>
      <c r="L103" s="102">
        <f>COUNTIFS(L16:L80,"&gt;16,5",L16:L80,"&lt;18,4")</f>
        <v>0</v>
      </c>
      <c r="M103" s="102">
        <f>COUNTIFS(M16:M80,"&gt;16,5",M16:M80,"&lt;18,4")</f>
        <v>0</v>
      </c>
      <c r="N103" s="102">
        <f>COUNTIFS(N16:N80,"&gt;16,5",N16:N80,"&lt;18,4")</f>
        <v>0</v>
      </c>
      <c r="O103" s="102">
        <f>COUNTIFS(O16:O80,"&gt;16,5",O16:O80,"&lt;18,4")</f>
        <v>0</v>
      </c>
      <c r="P103" s="102">
        <f>COUNTIFS(P16:P80,"&gt;16,5",P16:P80,"&lt;18,4")</f>
        <v>0</v>
      </c>
      <c r="Q103" s="102">
        <f>COUNTIFS(Q16:Q80,"&gt;16,5",Q16:Q80,"&lt;18,4")</f>
        <v>0</v>
      </c>
      <c r="R103" s="102">
        <f>COUNTIFS(R16:R80,"&gt;16,5",R16:R80,"&lt;18,4")</f>
        <v>0</v>
      </c>
      <c r="S103" s="102"/>
      <c r="T103" s="102">
        <f>COUNTIFS(T16:T80,"&gt;16,5",T16:T80,"&lt;18,4")</f>
        <v>0</v>
      </c>
      <c r="U103" s="102">
        <f>COUNTIFS(U16:U80,"&gt;16,5",U16:U80,"&lt;18,4")</f>
        <v>0</v>
      </c>
      <c r="V103" s="102">
        <f>COUNTIFS(V16:V80,"&gt;16,5",V16:V80,"&lt;18,4")</f>
        <v>0</v>
      </c>
      <c r="W103" s="102">
        <f>COUNTIFS(W16:W80,"&gt;16,5",W16:W80,"&lt;18,4")</f>
        <v>0</v>
      </c>
      <c r="X103" s="102">
        <f>COUNTIFS(X16:X80,"&gt;16,5",X16:X80,"&lt;18,4")</f>
        <v>0</v>
      </c>
      <c r="Y103" s="102">
        <f>COUNTIFS(Y16:Y80,"&gt;16,5",Y16:Y80,"&lt;18,4")</f>
        <v>0</v>
      </c>
      <c r="Z103" s="102">
        <f>COUNTIFS(Z16:Z80,"&gt;16,5",Z16:Z80,"&lt;18,4")</f>
        <v>0</v>
      </c>
      <c r="AA103" s="102"/>
      <c r="AB103" s="102">
        <f>COUNTIFS(AB16:AB80,"&gt;16,5",AB16:AB80,"&lt;18,4")</f>
        <v>0</v>
      </c>
    </row>
    <row r="104" ht="15">
      <c r="A104" s="117">
        <v>11</v>
      </c>
      <c r="B104" s="118" t="s">
        <v>42</v>
      </c>
      <c r="C104" s="118" t="s">
        <v>43</v>
      </c>
      <c r="D104" s="119">
        <f>COUNTIFS(D16:D80,"&gt;18,5",D16:D80,"&lt;20,1")</f>
        <v>0</v>
      </c>
      <c r="E104" s="119">
        <f>COUNTIFS(E16:E80,"&gt;18,5",E16:E80,"&lt;20,1")</f>
        <v>0</v>
      </c>
      <c r="F104" s="119">
        <f>COUNTIFS(F16:F80,"&gt;18,5",F16:F80,"&lt;20,1")</f>
        <v>0</v>
      </c>
      <c r="G104" s="119">
        <f>COUNTIFS(G16:G80,"&gt;18,5",G16:G80,"&lt;20,1")</f>
        <v>0</v>
      </c>
      <c r="H104" s="119">
        <f>COUNTIFS(H16:H80,"&gt;18,5",H16:H80,"&lt;20,1")</f>
        <v>0</v>
      </c>
      <c r="I104" s="119">
        <f>COUNTIFS(I16:I80,"&gt;18,5",I16:I80,"&lt;20,1")</f>
        <v>0</v>
      </c>
      <c r="J104" s="119">
        <f>COUNTIFS(J16:J80,"&gt;18,5",J16:J80,"&lt;20,1")</f>
        <v>0</v>
      </c>
      <c r="K104" s="119"/>
      <c r="L104" s="119">
        <f>COUNTIFS(L16:L80,"&gt;18,5",L16:L80,"&lt;20,1")</f>
        <v>0</v>
      </c>
      <c r="M104" s="119">
        <f>COUNTIFS(M16:M80,"&gt;18,5",M16:M80,"&lt;20,1")</f>
        <v>0</v>
      </c>
      <c r="N104" s="119">
        <f>COUNTIFS(N16:N80,"&gt;18,5",N16:N80,"&lt;20,1")</f>
        <v>0</v>
      </c>
      <c r="O104" s="119">
        <f>COUNTIFS(O16:O80,"&gt;18,5",O16:O80,"&lt;20,1")</f>
        <v>0</v>
      </c>
      <c r="P104" s="119">
        <f>COUNTIFS(P16:P80,"&gt;18,5",P16:P80,"&lt;20,1")</f>
        <v>0</v>
      </c>
      <c r="Q104" s="119">
        <f>COUNTIFS(Q16:Q80,"&gt;18,5",Q16:Q80,"&lt;20,1")</f>
        <v>0</v>
      </c>
      <c r="R104" s="119">
        <f>COUNTIFS(R16:R80,"&gt;18,5",R16:R80,"&lt;20,1")</f>
        <v>0</v>
      </c>
      <c r="S104" s="119"/>
      <c r="T104" s="119">
        <f>COUNTIFS(T16:T80,"&gt;18,5",T16:T80,"&lt;20,1")</f>
        <v>0</v>
      </c>
      <c r="U104" s="119">
        <f>COUNTIFS(U16:U80,"&gt;18,5",U16:U80,"&lt;20,1")</f>
        <v>0</v>
      </c>
      <c r="V104" s="119">
        <f>COUNTIFS(V16:V80,"&gt;18,5",V16:V80,"&lt;20,1")</f>
        <v>0</v>
      </c>
      <c r="W104" s="119">
        <f>COUNTIFS(W16:W80,"&gt;18,5",W16:W80,"&lt;20,1")</f>
        <v>0</v>
      </c>
      <c r="X104" s="119">
        <f>COUNTIFS(X16:X80,"&gt;18,5",X16:X80,"&lt;20,1")</f>
        <v>0</v>
      </c>
      <c r="Y104" s="119">
        <f>COUNTIFS(Y16:Y80,"&gt;18,5",Y16:Y80,"&lt;20,1")</f>
        <v>0</v>
      </c>
      <c r="Z104" s="119">
        <f>COUNTIFS(Z16:Z80,"&gt;18,5",Z16:Z80,"&lt;20,1")</f>
        <v>0</v>
      </c>
      <c r="AA104" s="119"/>
      <c r="AB104" s="119">
        <f>COUNTIFS(AB16:AB80,"&gt;18,5",AB16:AB80,"&lt;20,1")</f>
        <v>0</v>
      </c>
    </row>
    <row r="105" ht="15">
      <c r="A105" s="4"/>
      <c r="B105" s="120" t="s">
        <v>44</v>
      </c>
      <c r="C105" s="121"/>
      <c r="D105" s="122" t="s">
        <v>45</v>
      </c>
      <c r="E105" s="123"/>
      <c r="F105" s="123"/>
      <c r="G105" s="123"/>
      <c r="H105" s="123"/>
      <c r="I105" s="123"/>
      <c r="J105" s="123"/>
      <c r="K105" s="124"/>
      <c r="L105" s="122" t="s">
        <v>45</v>
      </c>
      <c r="M105" s="123"/>
      <c r="N105" s="123"/>
      <c r="O105" s="123"/>
      <c r="P105" s="123"/>
      <c r="Q105" s="123"/>
      <c r="R105" s="123"/>
      <c r="S105" s="124"/>
      <c r="T105" s="122" t="s">
        <v>45</v>
      </c>
      <c r="U105" s="123"/>
      <c r="V105" s="123"/>
      <c r="W105" s="123"/>
      <c r="X105" s="123"/>
      <c r="Y105" s="123"/>
      <c r="Z105" s="123"/>
      <c r="AA105" s="123"/>
      <c r="AB105" s="124"/>
    </row>
    <row r="106" ht="15">
      <c r="A106" s="4"/>
      <c r="B106" s="120"/>
      <c r="C106" s="125"/>
      <c r="D106" s="126" t="s">
        <v>46</v>
      </c>
      <c r="E106" s="127"/>
      <c r="F106" s="127"/>
      <c r="G106" s="127"/>
      <c r="H106" s="127"/>
      <c r="I106" s="127"/>
      <c r="J106" s="127"/>
      <c r="K106" s="128"/>
      <c r="L106" s="126" t="s">
        <v>46</v>
      </c>
      <c r="M106" s="127"/>
      <c r="N106" s="127"/>
      <c r="O106" s="127"/>
      <c r="P106" s="127"/>
      <c r="Q106" s="127"/>
      <c r="R106" s="127"/>
      <c r="S106" s="128"/>
      <c r="T106" s="126" t="s">
        <v>46</v>
      </c>
      <c r="U106" s="127"/>
      <c r="V106" s="127"/>
      <c r="W106" s="127"/>
      <c r="X106" s="127"/>
      <c r="Y106" s="127"/>
      <c r="Z106" s="127"/>
      <c r="AA106" s="127"/>
      <c r="AB106" s="128"/>
    </row>
    <row r="107" ht="15">
      <c r="A107" s="4"/>
      <c r="B107" s="120" t="s">
        <v>47</v>
      </c>
      <c r="C107" s="125"/>
      <c r="D107" s="129" t="s">
        <v>45</v>
      </c>
      <c r="E107" s="2"/>
      <c r="F107" s="2"/>
      <c r="G107" s="2"/>
      <c r="H107" s="2"/>
      <c r="I107" s="2"/>
      <c r="J107" s="2"/>
      <c r="K107" s="130"/>
      <c r="L107" s="129" t="s">
        <v>45</v>
      </c>
      <c r="M107" s="2"/>
      <c r="N107" s="2"/>
      <c r="O107" s="2"/>
      <c r="P107" s="2"/>
      <c r="Q107" s="2"/>
      <c r="R107" s="2"/>
      <c r="S107" s="130"/>
      <c r="T107" s="129" t="s">
        <v>45</v>
      </c>
      <c r="U107" s="2"/>
      <c r="V107" s="2"/>
      <c r="W107" s="2"/>
      <c r="X107" s="2"/>
      <c r="Y107" s="2"/>
      <c r="Z107" s="2"/>
      <c r="AA107" s="2"/>
      <c r="AB107" s="130"/>
    </row>
    <row r="108" ht="13.5">
      <c r="A108" s="4"/>
      <c r="B108" s="131"/>
      <c r="C108" s="125"/>
      <c r="D108" s="126" t="s">
        <v>46</v>
      </c>
      <c r="E108" s="127"/>
      <c r="F108" s="127"/>
      <c r="G108" s="127"/>
      <c r="H108" s="127"/>
      <c r="I108" s="127"/>
      <c r="J108" s="127"/>
      <c r="K108" s="128"/>
      <c r="L108" s="126" t="s">
        <v>46</v>
      </c>
      <c r="M108" s="127"/>
      <c r="N108" s="127"/>
      <c r="O108" s="127"/>
      <c r="P108" s="127"/>
      <c r="Q108" s="127"/>
      <c r="R108" s="127"/>
      <c r="S108" s="128"/>
      <c r="T108" s="126" t="s">
        <v>46</v>
      </c>
      <c r="U108" s="127"/>
      <c r="V108" s="127"/>
      <c r="W108" s="127"/>
      <c r="X108" s="127"/>
      <c r="Y108" s="127"/>
      <c r="Z108" s="127"/>
      <c r="AA108" s="127"/>
      <c r="AB108" s="128"/>
    </row>
    <row r="109" ht="14.25">
      <c r="A109" s="132"/>
      <c r="B109" s="133" t="s">
        <v>48</v>
      </c>
      <c r="C109" s="134"/>
      <c r="D109" s="129" t="s">
        <v>45</v>
      </c>
      <c r="E109" s="2"/>
      <c r="F109" s="2"/>
      <c r="G109" s="2"/>
      <c r="H109" s="2"/>
      <c r="I109" s="2"/>
      <c r="J109" s="2"/>
      <c r="K109" s="130"/>
      <c r="L109" s="129" t="s">
        <v>45</v>
      </c>
      <c r="M109" s="2"/>
      <c r="N109" s="2"/>
      <c r="O109" s="2"/>
      <c r="P109" s="2"/>
      <c r="Q109" s="2"/>
      <c r="R109" s="2"/>
      <c r="S109" s="130"/>
      <c r="T109" s="129" t="s">
        <v>45</v>
      </c>
      <c r="U109" s="2"/>
      <c r="V109" s="2"/>
      <c r="W109" s="2"/>
      <c r="X109" s="2"/>
      <c r="Y109" s="2"/>
      <c r="Z109" s="2"/>
      <c r="AA109" s="2"/>
      <c r="AB109" s="130"/>
    </row>
    <row r="110">
      <c r="A110" s="132"/>
      <c r="B110" s="135"/>
      <c r="C110" s="136"/>
      <c r="D110" s="137" t="s">
        <v>46</v>
      </c>
      <c r="E110" s="138"/>
      <c r="F110" s="138"/>
      <c r="G110" s="138"/>
      <c r="H110" s="138"/>
      <c r="I110" s="138"/>
      <c r="J110" s="138"/>
      <c r="K110" s="139"/>
      <c r="L110" s="137" t="s">
        <v>46</v>
      </c>
      <c r="M110" s="138"/>
      <c r="N110" s="138"/>
      <c r="O110" s="138"/>
      <c r="P110" s="138"/>
      <c r="Q110" s="138"/>
      <c r="R110" s="138"/>
      <c r="S110" s="139"/>
      <c r="T110" s="137" t="s">
        <v>46</v>
      </c>
      <c r="U110" s="138"/>
      <c r="V110" s="138"/>
      <c r="W110" s="138"/>
      <c r="X110" s="138"/>
      <c r="Y110" s="138"/>
      <c r="Z110" s="138"/>
      <c r="AA110" s="138"/>
      <c r="AB110" s="139"/>
    </row>
    <row r="111" ht="15">
      <c r="A111" s="4"/>
      <c r="B111" s="140" t="s">
        <v>49</v>
      </c>
      <c r="C111" s="141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</row>
    <row r="112" ht="15">
      <c r="B112" s="143" t="s">
        <v>50</v>
      </c>
      <c r="C112" s="9"/>
      <c r="J112" s="10"/>
      <c r="K112" s="10"/>
      <c r="L112" s="10"/>
      <c r="Q112" s="11"/>
      <c r="S112" s="10"/>
      <c r="Y112" s="12"/>
      <c r="AA112" s="10"/>
    </row>
    <row r="113" ht="12.75">
      <c r="B113" s="143" t="s">
        <v>51</v>
      </c>
      <c r="C113" s="9"/>
      <c r="J113" s="10"/>
      <c r="K113" s="10"/>
      <c r="L113" s="10"/>
      <c r="Q113" s="11"/>
      <c r="S113" s="10"/>
      <c r="Y113" s="12"/>
      <c r="AA113" s="10"/>
    </row>
  </sheetData>
  <sortState ref="A16:AB80">
    <sortCondition ref="B16:B80"/>
  </sortState>
  <mergeCells count="83">
    <mergeCell ref="A1:AB1"/>
    <mergeCell ref="A2:AB2"/>
    <mergeCell ref="A3:AB3"/>
    <mergeCell ref="A4:AB4"/>
    <mergeCell ref="A5:AB5"/>
    <mergeCell ref="A6:AB6"/>
    <mergeCell ref="A7:AB7"/>
    <mergeCell ref="A8:AB8"/>
    <mergeCell ref="A13:A15"/>
    <mergeCell ref="B13:B15"/>
    <mergeCell ref="C13:C15"/>
    <mergeCell ref="D13:K13"/>
    <mergeCell ref="L13:S13"/>
    <mergeCell ref="T13:AA13"/>
    <mergeCell ref="AB13:AB15"/>
    <mergeCell ref="D14:G14"/>
    <mergeCell ref="H14:H15"/>
    <mergeCell ref="I14:I15"/>
    <mergeCell ref="J14:J15"/>
    <mergeCell ref="K14:K15"/>
    <mergeCell ref="L14:O14"/>
    <mergeCell ref="P14:P15"/>
    <mergeCell ref="Q14:Q15"/>
    <mergeCell ref="R14:R15"/>
    <mergeCell ref="S14:S15"/>
    <mergeCell ref="T14:W14"/>
    <mergeCell ref="X14:X15"/>
    <mergeCell ref="Y14:Y15"/>
    <mergeCell ref="Z14:Z15"/>
    <mergeCell ref="AA14:AA15"/>
    <mergeCell ref="B81:Z81"/>
    <mergeCell ref="A82:A84"/>
    <mergeCell ref="B82:B84"/>
    <mergeCell ref="C82:C84"/>
    <mergeCell ref="D82:K82"/>
    <mergeCell ref="L82:S82"/>
    <mergeCell ref="T82:AA82"/>
    <mergeCell ref="AB82:AB84"/>
    <mergeCell ref="D83:G83"/>
    <mergeCell ref="H83:H84"/>
    <mergeCell ref="I83:I84"/>
    <mergeCell ref="J83:J84"/>
    <mergeCell ref="K83:K84"/>
    <mergeCell ref="L83:O83"/>
    <mergeCell ref="P83:P84"/>
    <mergeCell ref="Q83:Q84"/>
    <mergeCell ref="R83:R84"/>
    <mergeCell ref="S83:S84"/>
    <mergeCell ref="T83:W83"/>
    <mergeCell ref="X83:X84"/>
    <mergeCell ref="Y83:Y84"/>
    <mergeCell ref="Z83:Z84"/>
    <mergeCell ref="AA83:AA84"/>
    <mergeCell ref="B85:B86"/>
    <mergeCell ref="B87:B88"/>
    <mergeCell ref="B89:B90"/>
    <mergeCell ref="B91:B92"/>
    <mergeCell ref="B93:B94"/>
    <mergeCell ref="B95:B96"/>
    <mergeCell ref="B97:B98"/>
    <mergeCell ref="B99:AB99"/>
    <mergeCell ref="B105:C105"/>
    <mergeCell ref="D105:K105"/>
    <mergeCell ref="L105:S105"/>
    <mergeCell ref="T105:AB105"/>
    <mergeCell ref="B106:C106"/>
    <mergeCell ref="D106:K106"/>
    <mergeCell ref="L106:S106"/>
    <mergeCell ref="T106:AB106"/>
    <mergeCell ref="B107:C107"/>
    <mergeCell ref="D107:K107"/>
    <mergeCell ref="L107:S107"/>
    <mergeCell ref="T107:AB107"/>
    <mergeCell ref="D108:K108"/>
    <mergeCell ref="L108:S108"/>
    <mergeCell ref="T108:AB108"/>
    <mergeCell ref="B109:C109"/>
    <mergeCell ref="D109:K109"/>
    <mergeCell ref="L109:S109"/>
    <mergeCell ref="T109:AB109"/>
    <mergeCell ref="D110:K110"/>
    <mergeCell ref="L110:S110"/>
    <mergeCell ref="T110:AB110"/>
  </mergeCells>
  <printOptions headings="0" gridLines="0" horizontalCentered="1" verticalCentered="1"/>
  <pageMargins left="0" right="0" top="0" bottom="0" header="0.29999999999999999" footer="0.29999999999999999"/>
  <pageSetup paperSize="9" scale="99" fitToWidth="1" fitToHeight="3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ESED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Manejo Rivaldo</dc:creator>
  <cp:revision>3</cp:revision>
  <dcterms:created xsi:type="dcterms:W3CDTF">2004-03-11T10:37:42Z</dcterms:created>
  <dcterms:modified xsi:type="dcterms:W3CDTF">2026-01-15T18:30:58Z</dcterms:modified>
</cp:coreProperties>
</file>